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21460" tabRatio="600" firstSheet="0" activeTab="3" autoFilterDateGrouping="1"/>
  </bookViews>
  <sheets>
    <sheet xmlns:r="http://schemas.openxmlformats.org/officeDocument/2006/relationships" name="Definiciones Conceptos" sheetId="1" state="visible" r:id="rId1"/>
    <sheet xmlns:r="http://schemas.openxmlformats.org/officeDocument/2006/relationships" name="MATRIZ DE PESOS PROXIMOS ESTADO" sheetId="2" state="visible" r:id="rId2"/>
    <sheet xmlns:r="http://schemas.openxmlformats.org/officeDocument/2006/relationships" name="EXPLICACIONES FCM PESOS PROXIM" sheetId="3" state="visible" r:id="rId3"/>
    <sheet xmlns:r="http://schemas.openxmlformats.org/officeDocument/2006/relationships" name="MATRIZ DE PESOS DE PREDECIR CON" sheetId="4" state="visible" r:id="rId4"/>
    <sheet xmlns:r="http://schemas.openxmlformats.org/officeDocument/2006/relationships" name="EXPLICACIONES FCM PREDECIR CONT" sheetId="5" state="visible" r:id="rId5"/>
    <sheet xmlns:r="http://schemas.openxmlformats.org/officeDocument/2006/relationships" name="FICHA TECNICA VARIABLES" sheetId="6" state="visible" r:id="rId6"/>
  </sheets>
  <definedNames/>
  <calcPr calcId="191029" fullCalcOnLoad="1" iterateDelta="0.0001"/>
</workbook>
</file>

<file path=xl/styles.xml><?xml version="1.0" encoding="utf-8"?>
<styleSheet xmlns="http://schemas.openxmlformats.org/spreadsheetml/2006/main">
  <numFmts count="4">
    <numFmt numFmtId="164" formatCode="0.0;\-0.0;0"/>
    <numFmt numFmtId="165" formatCode="0.00;\-0.00;0"/>
    <numFmt numFmtId="166" formatCode="0.00;\-0.00;;"/>
    <numFmt numFmtId="167" formatCode="0.00;\-0.00;0.00"/>
  </numFmts>
  <fonts count="37">
    <font>
      <name val="Calibri"/>
      <charset val="1"/>
      <family val="2"/>
      <color theme="1"/>
      <sz val="11"/>
    </font>
    <font>
      <name val="Arial"/>
      <charset val="1"/>
      <family val="2"/>
      <b val="1"/>
      <color rgb="FF1F4E79"/>
      <sz val="13"/>
    </font>
    <font>
      <name val="Arial"/>
      <charset val="1"/>
      <family val="2"/>
      <color rgb="FF7F7F7F"/>
      <sz val="9"/>
    </font>
    <font>
      <name val="Arial"/>
      <charset val="1"/>
      <family val="2"/>
      <b val="1"/>
      <color rgb="FF7F7F7F"/>
      <sz val="9"/>
    </font>
    <font>
      <name val="Arial"/>
      <charset val="1"/>
      <family val="2"/>
      <b val="1"/>
      <color rgb="FF1F4E79"/>
      <sz val="9"/>
    </font>
    <font>
      <name val="Arial"/>
      <charset val="1"/>
      <family val="2"/>
      <b val="1"/>
      <color rgb="FF38761D"/>
      <sz val="9"/>
    </font>
    <font>
      <name val="Arial"/>
      <charset val="1"/>
      <family val="2"/>
      <b val="1"/>
      <color rgb="FF3B3B3B"/>
      <sz val="9"/>
    </font>
    <font>
      <name val="Arial"/>
      <charset val="1"/>
      <family val="2"/>
      <b val="1"/>
      <color rgb="FF1F4E79"/>
      <sz val="10"/>
    </font>
    <font>
      <name val="Arial"/>
      <charset val="1"/>
      <family val="2"/>
      <color rgb="FF3B3B3B"/>
      <sz val="9"/>
    </font>
    <font>
      <name val="Arial"/>
      <charset val="1"/>
      <family val="2"/>
      <b val="1"/>
      <color rgb="FF38761D"/>
      <sz val="10"/>
    </font>
    <font>
      <name val="Arial"/>
      <charset val="1"/>
      <family val="2"/>
      <b val="1"/>
      <color rgb="FF1F4E79"/>
      <sz val="11"/>
    </font>
    <font>
      <name val="Arial"/>
      <charset val="1"/>
      <sz val="9"/>
    </font>
    <font>
      <name val="Arial"/>
      <charset val="1"/>
      <b val="1"/>
      <color rgb="FF1F4E79"/>
      <sz val="13"/>
    </font>
    <font>
      <name val="Arial"/>
      <charset val="1"/>
      <color rgb="FF7F7F7F"/>
      <sz val="9"/>
    </font>
    <font>
      <name val="Arial"/>
      <charset val="1"/>
      <b val="1"/>
      <color rgb="FF7F7F7F"/>
      <sz val="9"/>
    </font>
    <font>
      <name val="Arial"/>
      <charset val="1"/>
      <family val="2"/>
      <b val="1"/>
      <color theme="1"/>
      <sz val="9"/>
    </font>
    <font>
      <name val="Arial"/>
      <charset val="1"/>
      <b val="1"/>
      <color rgb="FF3B3B3B"/>
      <sz val="9"/>
    </font>
    <font>
      <name val="Arial"/>
      <charset val="1"/>
      <b val="1"/>
      <color rgb="FF1F4E79"/>
      <sz val="10"/>
    </font>
    <font>
      <name val="Arial"/>
      <charset val="1"/>
      <b val="1"/>
      <color rgb="FF38761D"/>
      <sz val="9"/>
    </font>
    <font>
      <name val="Arial"/>
      <charset val="1"/>
      <color rgb="FF3B3B3B"/>
      <sz val="9"/>
    </font>
    <font>
      <name val="Arial"/>
      <charset val="1"/>
      <b val="1"/>
      <color rgb="FFC00000"/>
      <sz val="9"/>
    </font>
    <font>
      <name val="Arial"/>
      <charset val="1"/>
      <b val="1"/>
      <color rgb="FF7F7F7F"/>
      <sz val="8"/>
    </font>
    <font>
      <name val="Arial"/>
      <charset val="1"/>
      <family val="2"/>
      <color rgb="FF1F4E79"/>
      <sz val="9"/>
    </font>
    <font>
      <name val="Arial"/>
      <charset val="1"/>
      <b val="1"/>
      <sz val="9"/>
    </font>
    <font>
      <b val="1"/>
      <sz val="14"/>
    </font>
    <font>
      <sz val="10"/>
    </font>
    <font>
      <b val="1"/>
      <color rgb="00FFFFFF"/>
      <sz val="11"/>
    </font>
    <font>
      <b val="1"/>
      <sz val="10"/>
    </font>
    <font>
      <i val="1"/>
      <color rgb="009C0006"/>
      <sz val="10"/>
    </font>
    <font>
      <b val="1"/>
      <color rgb="001F4E79"/>
      <sz val="13"/>
    </font>
    <font>
      <b val="1"/>
      <color rgb="001F4E79"/>
      <sz val="11"/>
    </font>
    <font>
      <i val="1"/>
      <color rgb="00666666"/>
      <sz val="9"/>
    </font>
    <font>
      <b val="1"/>
      <color rgb="001F4E79"/>
    </font>
    <font>
      <b val="1"/>
      <sz val="9"/>
    </font>
    <font>
      <color rgb="001F4E79"/>
    </font>
    <font>
      <color rgb="00C00000"/>
    </font>
    <font>
      <i val="1"/>
      <color rgb="00444444"/>
      <sz val="9"/>
    </font>
  </fonts>
  <fills count="27">
    <fill>
      <patternFill/>
    </fill>
    <fill>
      <patternFill patternType="gray125"/>
    </fill>
    <fill>
      <patternFill patternType="solid">
        <fgColor rgb="FFDDEBF7"/>
        <bgColor rgb="FFEAF2FB"/>
      </patternFill>
    </fill>
    <fill>
      <patternFill patternType="solid">
        <fgColor rgb="FFC9DAF8"/>
        <bgColor rgb="FFD9D9D9"/>
      </patternFill>
    </fill>
    <fill>
      <patternFill patternType="solid">
        <fgColor rgb="FFD9EAD3"/>
        <bgColor rgb="FFDDDDDD"/>
      </patternFill>
    </fill>
    <fill>
      <patternFill patternType="solid">
        <fgColor rgb="FFECECEC"/>
        <bgColor rgb="FFEDEDED"/>
      </patternFill>
    </fill>
    <fill>
      <patternFill patternType="solid">
        <fgColor rgb="FFEAF2FB"/>
        <bgColor rgb="FFF2F2F2"/>
      </patternFill>
    </fill>
    <fill>
      <patternFill patternType="solid">
        <fgColor rgb="FFF1F8ED"/>
        <bgColor rgb="FFF5F5F5"/>
      </patternFill>
    </fill>
    <fill>
      <patternFill patternType="solid">
        <fgColor rgb="FFF5F5F5"/>
        <bgColor rgb="FFF3F3F3"/>
      </patternFill>
    </fill>
    <fill>
      <patternFill patternType="solid">
        <fgColor theme="9" tint="0.3997924741355632"/>
        <bgColor rgb="FFC9C9C9"/>
      </patternFill>
    </fill>
    <fill>
      <patternFill patternType="solid">
        <fgColor rgb="FFEDEDED"/>
        <bgColor rgb="FFECECEC"/>
      </patternFill>
    </fill>
    <fill>
      <patternFill patternType="solid">
        <fgColor rgb="FFF3F3F3"/>
        <bgColor rgb="FFF2F2F2"/>
      </patternFill>
    </fill>
    <fill>
      <patternFill patternType="solid">
        <fgColor theme="4" tint="0.3997924741355632"/>
        <bgColor rgb="FFBFBFBF"/>
      </patternFill>
    </fill>
    <fill>
      <patternFill patternType="solid">
        <fgColor theme="7" tint="0.5997802667317729"/>
        <bgColor rgb="FFC9C9C9"/>
      </patternFill>
    </fill>
    <fill>
      <patternFill patternType="solid">
        <fgColor theme="6" tint="0.3997924741355632"/>
        <bgColor rgb="FFC9C9C9"/>
      </patternFill>
    </fill>
    <fill>
      <patternFill patternType="solid">
        <fgColor rgb="FFEBF3E4"/>
        <bgColor rgb="FFEDEDED"/>
      </patternFill>
    </fill>
    <fill>
      <patternFill patternType="solid">
        <fgColor rgb="FFFDECEA"/>
        <bgColor rgb="FFF2F2F2"/>
      </patternFill>
    </fill>
    <fill>
      <patternFill patternType="solid">
        <fgColor rgb="FFFFF6DA"/>
        <bgColor rgb="FFFDECEA"/>
      </patternFill>
    </fill>
    <fill>
      <patternFill patternType="solid">
        <fgColor rgb="FFF2F2F2"/>
        <bgColor rgb="FFF3F3F3"/>
      </patternFill>
    </fill>
    <fill>
      <patternFill patternType="solid">
        <fgColor rgb="004472C4"/>
      </patternFill>
    </fill>
    <fill>
      <patternFill patternType="solid">
        <fgColor rgb="00D9E1F2"/>
      </patternFill>
    </fill>
    <fill>
      <patternFill patternType="solid">
        <fgColor rgb="00E2EFDA"/>
      </patternFill>
    </fill>
    <fill>
      <patternFill patternType="solid">
        <fgColor rgb="00FFF2CC"/>
      </patternFill>
    </fill>
    <fill>
      <patternFill patternType="solid">
        <fgColor rgb="00FFC7CE"/>
      </patternFill>
    </fill>
    <fill>
      <patternFill patternType="solid">
        <fgColor rgb="00C9DAF8"/>
      </patternFill>
    </fill>
    <fill>
      <patternFill patternType="solid">
        <fgColor rgb="00D9EAD3"/>
      </patternFill>
    </fill>
    <fill>
      <patternFill patternType="solid">
        <fgColor rgb="00D9D9D9"/>
      </patternFill>
    </fill>
  </fills>
  <borders count="11">
    <border>
      <left/>
      <right/>
      <top/>
      <bottom/>
      <diagonal/>
    </border>
    <border>
      <left/>
      <right/>
      <top/>
      <bottom style="medium">
        <color rgb="FFBFBFBF"/>
      </bottom>
      <diagonal/>
    </border>
    <border>
      <left/>
      <right/>
      <top/>
      <bottom style="thin">
        <color rgb="FFC9C9C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9">
    <xf numFmtId="0" fontId="0" fillId="0" borderId="0" pivotButton="0" quotePrefix="0" xfId="0"/>
    <xf numFmtId="0" fontId="13" fillId="0" borderId="0" applyAlignment="1" pivotButton="0" quotePrefix="0" xfId="0">
      <alignment horizontal="left" vertical="top" wrapText="1"/>
    </xf>
    <xf numFmtId="0" fontId="12" fillId="2" borderId="0" applyAlignment="1" pivotButton="0" quotePrefix="0" xfId="0">
      <alignment horizontal="left" vertical="center"/>
    </xf>
    <xf numFmtId="0" fontId="0" fillId="14" borderId="3" applyAlignment="1" pivotButton="0" quotePrefix="0" xfId="0">
      <alignment horizontal="center"/>
    </xf>
    <xf numFmtId="0" fontId="0" fillId="13" borderId="3" applyAlignment="1" pivotButton="0" quotePrefix="0" xfId="0">
      <alignment horizontal="center"/>
    </xf>
    <xf numFmtId="0" fontId="0" fillId="9" borderId="3" applyAlignment="1" pivotButton="0" quotePrefix="0" xfId="0">
      <alignment horizontal="center"/>
    </xf>
    <xf numFmtId="0" fontId="8" fillId="8" borderId="0" applyAlignment="1" pivotButton="0" quotePrefix="0" xfId="0">
      <alignment horizontal="left" vertical="top" wrapText="1"/>
    </xf>
    <xf numFmtId="0" fontId="10" fillId="2" borderId="0" applyAlignment="1" pivotButton="0" quotePrefix="0" xfId="0">
      <alignment horizontal="left" vertical="center"/>
    </xf>
    <xf numFmtId="0" fontId="9" fillId="4" borderId="0" applyAlignment="1" pivotButton="0" quotePrefix="0" xfId="0">
      <alignment horizontal="left" vertical="center"/>
    </xf>
    <xf numFmtId="0" fontId="7" fillId="3" borderId="0" applyAlignment="1" pivotButton="0" quotePrefix="0" xfId="0">
      <alignment horizontal="left" vertical="center"/>
    </xf>
    <xf numFmtId="0" fontId="0" fillId="12" borderId="3" applyAlignment="1" pivotButton="0" quotePrefix="0" xfId="0">
      <alignment horizontal="center"/>
    </xf>
    <xf numFmtId="0" fontId="2" fillId="8" borderId="0" applyAlignment="1" pivotButton="0" quotePrefix="0" xfId="0">
      <alignment horizontal="left" vertical="top" wrapText="1"/>
    </xf>
    <xf numFmtId="0" fontId="0" fillId="0" borderId="3" applyAlignment="1" pivotButton="0" quotePrefix="0" xfId="0">
      <alignment horizontal="center"/>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3" fillId="0" borderId="0" applyAlignment="1" pivotButton="0" quotePrefix="0" xfId="0">
      <alignment horizontal="left" vertical="center"/>
    </xf>
    <xf numFmtId="0" fontId="4" fillId="3" borderId="0" applyAlignment="1" pivotButton="0" quotePrefix="0" xfId="0">
      <alignment horizontal="center" vertical="center"/>
    </xf>
    <xf numFmtId="0" fontId="5" fillId="4" borderId="0" applyAlignment="1" pivotButton="0" quotePrefix="0" xfId="0">
      <alignment horizontal="center" vertical="center"/>
    </xf>
    <xf numFmtId="0" fontId="6" fillId="5" borderId="1" applyAlignment="1" pivotButton="0" quotePrefix="0" xfId="0">
      <alignment horizontal="center" vertical="center" wrapText="1"/>
    </xf>
    <xf numFmtId="0" fontId="6" fillId="6" borderId="2" applyAlignment="1" pivotButton="0" quotePrefix="0" xfId="0">
      <alignment horizontal="center" vertical="top" wrapText="1"/>
    </xf>
    <xf numFmtId="0" fontId="8" fillId="6" borderId="2" applyAlignment="1" pivotButton="0" quotePrefix="0" xfId="0">
      <alignment horizontal="left" vertical="top" wrapText="1"/>
    </xf>
    <xf numFmtId="0" fontId="8" fillId="6" borderId="2" applyAlignment="1" pivotButton="0" quotePrefix="0" xfId="0">
      <alignment horizontal="center" vertical="top" wrapText="1"/>
    </xf>
    <xf numFmtId="0" fontId="6" fillId="7" borderId="2" applyAlignment="1" pivotButton="0" quotePrefix="0" xfId="0">
      <alignment horizontal="center" vertical="top" wrapText="1"/>
    </xf>
    <xf numFmtId="0" fontId="8" fillId="7" borderId="2" applyAlignment="1" pivotButton="0" quotePrefix="0" xfId="0">
      <alignment horizontal="left" vertical="top" wrapText="1"/>
    </xf>
    <xf numFmtId="0" fontId="8" fillId="7" borderId="2" applyAlignment="1" pivotButton="0" quotePrefix="0" xfId="0">
      <alignment horizontal="center" vertical="top" wrapText="1"/>
    </xf>
    <xf numFmtId="0" fontId="6" fillId="5" borderId="4" applyAlignment="1" pivotButton="0" quotePrefix="0" xfId="0">
      <alignment horizontal="center" vertical="center"/>
    </xf>
    <xf numFmtId="0" fontId="4" fillId="3" borderId="4" applyAlignment="1" pivotButton="0" quotePrefix="0" xfId="0">
      <alignment horizontal="center" vertical="center"/>
    </xf>
    <xf numFmtId="0" fontId="5" fillId="4" borderId="4" applyAlignment="1" pivotButton="0" quotePrefix="0" xfId="0">
      <alignment horizontal="center" vertical="center"/>
    </xf>
    <xf numFmtId="0" fontId="4" fillId="3" borderId="4" applyAlignment="1" pivotButton="0" quotePrefix="0" xfId="0">
      <alignment horizontal="left" vertical="center"/>
    </xf>
    <xf numFmtId="0" fontId="8" fillId="10" borderId="4" applyAlignment="1" pivotButton="0" quotePrefix="0" xfId="0">
      <alignment horizontal="center" vertical="center"/>
    </xf>
    <xf numFmtId="0" fontId="8" fillId="0" borderId="4" applyAlignment="1" pivotButton="0" quotePrefix="0" xfId="0">
      <alignment horizontal="center" vertical="center"/>
    </xf>
    <xf numFmtId="164" fontId="11" fillId="0" borderId="4" applyAlignment="1" pivotButton="0" quotePrefix="0" xfId="0">
      <alignment horizontal="center" vertical="center"/>
    </xf>
    <xf numFmtId="0" fontId="8" fillId="11" borderId="4" applyAlignment="1" pivotButton="0" quotePrefix="0" xfId="0">
      <alignment horizontal="center" vertical="center"/>
    </xf>
    <xf numFmtId="0" fontId="5" fillId="4" borderId="4" applyAlignment="1" pivotButton="0" quotePrefix="0" xfId="0">
      <alignment horizontal="left" vertical="center"/>
    </xf>
    <xf numFmtId="165" fontId="11" fillId="10" borderId="4" applyAlignment="1" pivotButton="0" quotePrefix="0" xfId="0">
      <alignment horizontal="center" vertical="center"/>
    </xf>
    <xf numFmtId="166" fontId="11" fillId="0" borderId="4" applyAlignment="1" pivotButton="0" quotePrefix="0" xfId="0">
      <alignment horizontal="center" vertical="center"/>
    </xf>
    <xf numFmtId="165" fontId="11" fillId="0" borderId="4" applyAlignment="1" pivotButton="0" quotePrefix="0" xfId="0">
      <alignment horizontal="center" vertical="center"/>
    </xf>
    <xf numFmtId="0" fontId="13" fillId="0" borderId="0" applyAlignment="1" pivotButton="0" quotePrefix="0" xfId="0">
      <alignment horizontal="left" vertical="top" wrapText="1"/>
    </xf>
    <xf numFmtId="0" fontId="15" fillId="0" borderId="3" applyAlignment="1" pivotButton="0" quotePrefix="0" xfId="0">
      <alignment horizontal="left" vertical="center"/>
    </xf>
    <xf numFmtId="0" fontId="0" fillId="0" borderId="3" pivotButton="0" quotePrefix="0" xfId="0"/>
    <xf numFmtId="0" fontId="6"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16" fillId="5" borderId="5" applyAlignment="1" pivotButton="0" quotePrefix="0" xfId="0">
      <alignment horizontal="center" vertical="center" wrapText="1"/>
    </xf>
    <xf numFmtId="0" fontId="16" fillId="6" borderId="5" applyAlignment="1" pivotButton="0" quotePrefix="0" xfId="0">
      <alignment horizontal="center" vertical="center"/>
    </xf>
    <xf numFmtId="164" fontId="18" fillId="6" borderId="5" applyAlignment="1" pivotButton="0" quotePrefix="0" xfId="0">
      <alignment horizontal="center" vertical="center"/>
    </xf>
    <xf numFmtId="0" fontId="18" fillId="6" borderId="5" applyAlignment="1" pivotButton="0" quotePrefix="0" xfId="0">
      <alignment horizontal="center" vertical="center"/>
    </xf>
    <xf numFmtId="164" fontId="20" fillId="6" borderId="5" applyAlignment="1" pivotButton="0" quotePrefix="0" xfId="0">
      <alignment horizontal="center" vertical="center"/>
    </xf>
    <xf numFmtId="0" fontId="20" fillId="6" borderId="5" applyAlignment="1" pivotButton="0" quotePrefix="0" xfId="0">
      <alignment horizontal="center" vertical="center"/>
    </xf>
    <xf numFmtId="0" fontId="16" fillId="15" borderId="5" applyAlignment="1" pivotButton="0" quotePrefix="0" xfId="0">
      <alignment horizontal="center" vertical="center"/>
    </xf>
    <xf numFmtId="164" fontId="20" fillId="15" borderId="5" applyAlignment="1" pivotButton="0" quotePrefix="0" xfId="0">
      <alignment horizontal="center" vertical="center"/>
    </xf>
    <xf numFmtId="0" fontId="20" fillId="15" borderId="5" applyAlignment="1" pivotButton="0" quotePrefix="0" xfId="0">
      <alignment horizontal="center" vertical="center"/>
    </xf>
    <xf numFmtId="164" fontId="18" fillId="15" borderId="5" applyAlignment="1" pivotButton="0" quotePrefix="0" xfId="0">
      <alignment horizontal="center" vertical="center"/>
    </xf>
    <xf numFmtId="0" fontId="18" fillId="15" borderId="5" applyAlignment="1" pivotButton="0" quotePrefix="0" xfId="0">
      <alignment horizontal="center" vertical="center"/>
    </xf>
    <xf numFmtId="0" fontId="21" fillId="16" borderId="5" applyAlignment="1" pivotButton="0" quotePrefix="0" xfId="0">
      <alignment horizontal="center" vertical="center" wrapText="1"/>
    </xf>
    <xf numFmtId="164" fontId="14" fillId="16" borderId="5" applyAlignment="1" pivotButton="0" quotePrefix="0" xfId="0">
      <alignment horizontal="center" vertical="center"/>
    </xf>
    <xf numFmtId="0" fontId="14" fillId="16" borderId="5" applyAlignment="1" pivotButton="0" quotePrefix="0" xfId="0">
      <alignment horizontal="center" vertical="center"/>
    </xf>
    <xf numFmtId="0" fontId="19" fillId="0" borderId="0" applyAlignment="1" pivotButton="0" quotePrefix="0" xfId="0">
      <alignment horizontal="left" vertical="center" wrapText="1"/>
    </xf>
    <xf numFmtId="0" fontId="4" fillId="0" borderId="0" applyAlignment="1" pivotButton="0" quotePrefix="0" xfId="0">
      <alignment horizontal="left" vertical="center"/>
    </xf>
    <xf numFmtId="0" fontId="8" fillId="0" borderId="0" applyAlignment="1" pivotButton="0" quotePrefix="0" xfId="0">
      <alignment horizontal="center" vertical="center"/>
    </xf>
    <xf numFmtId="0" fontId="22" fillId="0" borderId="0" applyAlignment="1" pivotButton="0" quotePrefix="0" xfId="0">
      <alignment horizontal="left" vertical="center"/>
    </xf>
    <xf numFmtId="165" fontId="18" fillId="6" borderId="5" applyAlignment="1" pivotButton="0" quotePrefix="0" xfId="0">
      <alignment horizontal="center" vertical="center"/>
    </xf>
    <xf numFmtId="165" fontId="20" fillId="15" borderId="5" applyAlignment="1" pivotButton="0" quotePrefix="0" xfId="0">
      <alignment horizontal="center" vertical="center"/>
    </xf>
    <xf numFmtId="165" fontId="18" fillId="15" borderId="5" applyAlignment="1" pivotButton="0" quotePrefix="0" xfId="0">
      <alignment horizontal="center" vertical="center"/>
    </xf>
    <xf numFmtId="165" fontId="14" fillId="16" borderId="5" applyAlignment="1" pivotButton="0" quotePrefix="0" xfId="0">
      <alignment horizontal="center" vertical="center"/>
    </xf>
    <xf numFmtId="165" fontId="23" fillId="10" borderId="4" applyAlignment="1" pivotButton="0" quotePrefix="0" xfId="0">
      <alignment horizontal="center" vertical="center"/>
    </xf>
    <xf numFmtId="0" fontId="16" fillId="17" borderId="5" applyAlignment="1" pivotButton="0" quotePrefix="0" xfId="0">
      <alignment horizontal="center" vertical="center"/>
    </xf>
    <xf numFmtId="164" fontId="18" fillId="17" borderId="5" applyAlignment="1" pivotButton="0" quotePrefix="0" xfId="0">
      <alignment horizontal="center" vertical="center"/>
    </xf>
    <xf numFmtId="0" fontId="18" fillId="17" borderId="5" applyAlignment="1" pivotButton="0" quotePrefix="0" xfId="0">
      <alignment horizontal="center" vertical="center"/>
    </xf>
    <xf numFmtId="164" fontId="20" fillId="17" borderId="5" applyAlignment="1" pivotButton="0" quotePrefix="0" xfId="0">
      <alignment horizontal="center" vertical="center"/>
    </xf>
    <xf numFmtId="0" fontId="20" fillId="17" borderId="5" applyAlignment="1" pivotButton="0" quotePrefix="0" xfId="0">
      <alignment horizontal="center" vertical="center"/>
    </xf>
    <xf numFmtId="165" fontId="18" fillId="17" borderId="5" applyAlignment="1" pivotButton="0" quotePrefix="0" xfId="0">
      <alignment horizontal="center" vertical="center"/>
    </xf>
    <xf numFmtId="165" fontId="20" fillId="6" borderId="5" applyAlignment="1" pivotButton="0" quotePrefix="0" xfId="0">
      <alignment horizontal="center" vertical="center"/>
    </xf>
    <xf numFmtId="0" fontId="16" fillId="16" borderId="5" applyAlignment="1" pivotButton="0" quotePrefix="0" xfId="0">
      <alignment horizontal="center" vertical="center"/>
    </xf>
    <xf numFmtId="165" fontId="18" fillId="16" borderId="5" applyAlignment="1" pivotButton="0" quotePrefix="0" xfId="0">
      <alignment horizontal="center" vertical="center"/>
    </xf>
    <xf numFmtId="0" fontId="18" fillId="16" borderId="5" applyAlignment="1" pivotButton="0" quotePrefix="0" xfId="0">
      <alignment horizontal="center" vertical="center"/>
    </xf>
    <xf numFmtId="167" fontId="18" fillId="17" borderId="5" applyAlignment="1" pivotButton="0" quotePrefix="0" xfId="0">
      <alignment horizontal="center" vertical="center"/>
    </xf>
    <xf numFmtId="0" fontId="14" fillId="18" borderId="5" applyAlignment="1" pivotButton="0" quotePrefix="0" xfId="0">
      <alignment horizontal="center" vertical="center"/>
    </xf>
    <xf numFmtId="167" fontId="14" fillId="18" borderId="5" applyAlignment="1" pivotButton="0" quotePrefix="0" xfId="0">
      <alignment horizontal="center" vertical="center"/>
    </xf>
    <xf numFmtId="167" fontId="20" fillId="6" borderId="5" applyAlignment="1" pivotButton="0" quotePrefix="0" xfId="0">
      <alignment horizontal="center" vertical="center"/>
    </xf>
    <xf numFmtId="167" fontId="20" fillId="15" borderId="5" applyAlignment="1" pivotButton="0" quotePrefix="0" xfId="0">
      <alignment horizontal="center" vertical="center"/>
    </xf>
    <xf numFmtId="0" fontId="14" fillId="0" borderId="0" applyAlignment="1" pivotButton="0" quotePrefix="0" xfId="0">
      <alignment horizontal="left" vertical="center"/>
    </xf>
    <xf numFmtId="164" fontId="16" fillId="5" borderId="5" applyAlignment="1" pivotButton="0" quotePrefix="0" xfId="0">
      <alignment horizontal="left" vertical="center"/>
    </xf>
    <xf numFmtId="0" fontId="17" fillId="3" borderId="0" applyAlignment="1" pivotButton="0" quotePrefix="0" xfId="0">
      <alignment horizontal="left" vertical="center"/>
    </xf>
    <xf numFmtId="0" fontId="19" fillId="6" borderId="5" applyAlignment="1" pivotButton="0" quotePrefix="0" xfId="0">
      <alignment horizontal="left" vertical="center" wrapText="1"/>
    </xf>
    <xf numFmtId="164" fontId="19" fillId="6" borderId="5" applyAlignment="1" pivotButton="0" quotePrefix="0" xfId="0">
      <alignment horizontal="left" vertical="center" wrapText="1"/>
    </xf>
    <xf numFmtId="0" fontId="19" fillId="15" borderId="5" applyAlignment="1" pivotButton="0" quotePrefix="0" xfId="0">
      <alignment horizontal="left" vertical="center" wrapText="1"/>
    </xf>
    <xf numFmtId="0" fontId="19" fillId="16" borderId="5" applyAlignment="1" pivotButton="0" quotePrefix="0" xfId="0">
      <alignment horizontal="left" vertical="center" wrapText="1"/>
    </xf>
    <xf numFmtId="0" fontId="16" fillId="5" borderId="5" applyAlignment="1" pivotButton="0" quotePrefix="0" xfId="0">
      <alignment horizontal="left" vertical="center"/>
    </xf>
    <xf numFmtId="0" fontId="14" fillId="0" borderId="0" applyAlignment="1" pivotButton="0" quotePrefix="0" xfId="0">
      <alignment horizontal="left" vertical="center" wrapText="1"/>
    </xf>
    <xf numFmtId="0" fontId="19" fillId="17" borderId="5" applyAlignment="1" pivotButton="0" quotePrefix="0" xfId="0">
      <alignment horizontal="left" vertical="center" wrapText="1"/>
    </xf>
    <xf numFmtId="0" fontId="13" fillId="18" borderId="5" applyAlignment="1" pivotButton="0" quotePrefix="0" xfId="0">
      <alignment horizontal="left" vertical="center" wrapText="1"/>
    </xf>
    <xf numFmtId="0" fontId="0" fillId="0" borderId="8" pivotButton="0" quotePrefix="0" xfId="0"/>
    <xf numFmtId="0" fontId="0" fillId="0" borderId="9" pivotButton="0" quotePrefix="0" xfId="0"/>
    <xf numFmtId="0" fontId="24" fillId="0" borderId="0" pivotButton="0" quotePrefix="0" xfId="0"/>
    <xf numFmtId="0" fontId="25" fillId="0" borderId="0" pivotButton="0" quotePrefix="0" xfId="0"/>
    <xf numFmtId="0" fontId="26" fillId="19" borderId="0" pivotButton="0" quotePrefix="0" xfId="0"/>
    <xf numFmtId="0" fontId="0" fillId="19" borderId="0" pivotButton="0" quotePrefix="0" xfId="0"/>
    <xf numFmtId="0" fontId="27" fillId="20" borderId="10" applyAlignment="1" pivotButton="0" quotePrefix="0" xfId="0">
      <alignment vertical="top" wrapText="1"/>
    </xf>
    <xf numFmtId="0" fontId="25" fillId="21" borderId="10" applyAlignment="1" pivotButton="0" quotePrefix="0" xfId="0">
      <alignment vertical="top" wrapText="1"/>
    </xf>
    <xf numFmtId="0" fontId="25" fillId="22" borderId="10" applyAlignment="1" pivotButton="0" quotePrefix="0" xfId="0">
      <alignment vertical="top" wrapText="1"/>
    </xf>
    <xf numFmtId="0" fontId="25" fillId="0" borderId="10" applyAlignment="1" pivotButton="0" quotePrefix="0" xfId="0">
      <alignment vertical="top" wrapText="1"/>
    </xf>
    <xf numFmtId="0" fontId="27" fillId="0" borderId="0" pivotButton="0" quotePrefix="0" xfId="0"/>
    <xf numFmtId="0" fontId="28" fillId="0" borderId="0" pivotButton="0" quotePrefix="0" xfId="0"/>
    <xf numFmtId="0" fontId="25" fillId="23" borderId="10" applyAlignment="1" pivotButton="0" quotePrefix="0" xfId="0">
      <alignment vertical="top" wrapText="1"/>
    </xf>
    <xf numFmtId="0" fontId="29" fillId="0" borderId="0" pivotButton="0" quotePrefix="0" xfId="0"/>
    <xf numFmtId="0" fontId="0" fillId="0" borderId="0" applyAlignment="1" pivotButton="0" quotePrefix="0" xfId="0">
      <alignment vertical="top" wrapText="1"/>
    </xf>
    <xf numFmtId="0" fontId="30" fillId="0" borderId="0" pivotButton="0" quotePrefix="0" xfId="0"/>
    <xf numFmtId="0" fontId="31" fillId="0" borderId="0" pivotButton="0" quotePrefix="0" xfId="0"/>
    <xf numFmtId="0" fontId="32" fillId="24" borderId="10" pivotButton="0" quotePrefix="0" xfId="0"/>
    <xf numFmtId="0" fontId="32" fillId="24" borderId="10" applyAlignment="1" pivotButton="0" quotePrefix="0" xfId="0">
      <alignment horizontal="center"/>
    </xf>
    <xf numFmtId="0" fontId="32" fillId="25" borderId="10" applyAlignment="1" pivotButton="0" quotePrefix="0" xfId="0">
      <alignment horizontal="center"/>
    </xf>
    <xf numFmtId="0" fontId="33" fillId="0" borderId="10" pivotButton="0" quotePrefix="0" xfId="0"/>
    <xf numFmtId="0" fontId="0" fillId="0" borderId="10" applyAlignment="1" pivotButton="0" quotePrefix="0" xfId="0">
      <alignment horizontal="center"/>
    </xf>
    <xf numFmtId="0" fontId="0" fillId="26" borderId="10" applyAlignment="1" pivotButton="0" quotePrefix="0" xfId="0">
      <alignment horizontal="center"/>
    </xf>
    <xf numFmtId="0" fontId="34" fillId="0" borderId="10" applyAlignment="1" pivotButton="0" quotePrefix="0" xfId="0">
      <alignment horizontal="center"/>
    </xf>
    <xf numFmtId="0" fontId="35" fillId="0" borderId="10" applyAlignment="1" pivotButton="0" quotePrefix="0" xfId="0">
      <alignment horizontal="center"/>
    </xf>
    <xf numFmtId="0" fontId="32" fillId="0" borderId="10" applyAlignment="1" pivotButton="0" quotePrefix="0" xfId="0">
      <alignment horizontal="center"/>
    </xf>
    <xf numFmtId="0" fontId="36" fillId="0" borderId="0" pivotButton="0" quotePrefix="0" xfId="0"/>
  </cellXfs>
  <cellStyles count="1">
    <cellStyle name="Normal" xfId="0" builtinId="0"/>
  </cellStyles>
  <tableStyles count="0" defaultTableStyle="TableStyleMedium2" defaultPivotStyle="PivotStyleLight16"/>
  <colors>
    <indexedColors>
      <rgbColor rgb="FF000000"/>
      <rgbColor rgb="FFF5F5F5"/>
      <rgbColor rgb="FFC00000"/>
      <rgbColor rgb="FF00FF00"/>
      <rgbColor rgb="FF0000FF"/>
      <rgbColor rgb="FFFDECEA"/>
      <rgbColor rgb="FFFF00FF"/>
      <rgbColor rgb="FF00FFFF"/>
      <rgbColor rgb="FF800000"/>
      <rgbColor rgb="FF38761D"/>
      <rgbColor rgb="FF000080"/>
      <rgbColor rgb="FF808000"/>
      <rgbColor rgb="FF800080"/>
      <rgbColor rgb="FF008080"/>
      <rgbColor rgb="FFBFBFBF"/>
      <rgbColor rgb="FF7F7F7F"/>
      <rgbColor rgb="FFD9D9D9"/>
      <rgbColor rgb="FF993366"/>
      <rgbColor rgb="FFFFF6DA"/>
      <rgbColor rgb="FFDDEBF7"/>
      <rgbColor rgb="FF660066"/>
      <rgbColor rgb="FFECECEC"/>
      <rgbColor rgb="FF0066CC"/>
      <rgbColor rgb="FFC9DAF8"/>
      <rgbColor rgb="FF000080"/>
      <rgbColor rgb="FFFF00FF"/>
      <rgbColor rgb="FFF1F8ED"/>
      <rgbColor rgb="FF00FFFF"/>
      <rgbColor rgb="FF800080"/>
      <rgbColor rgb="FF800000"/>
      <rgbColor rgb="FF008080"/>
      <rgbColor rgb="FF0000FF"/>
      <rgbColor rgb="FF00CCFF"/>
      <rgbColor rgb="FFEAF2FB"/>
      <rgbColor rgb="FFD9EAD3"/>
      <rgbColor rgb="FFEBF3E4"/>
      <rgbColor rgb="FF95B3D7"/>
      <rgbColor rgb="FFC9C9C9"/>
      <rgbColor rgb="FFCCC1DA"/>
      <rgbColor rgb="FFFAC090"/>
      <rgbColor rgb="FF3366FF"/>
      <rgbColor rgb="FFF3F3F3"/>
      <rgbColor rgb="FFEDEDED"/>
      <rgbColor rgb="FFDDDDDD"/>
      <rgbColor rgb="FFF2F2F2"/>
      <rgbColor rgb="FFFF6600"/>
      <rgbColor rgb="FF666699"/>
      <rgbColor rgb="FFC3D69B"/>
      <rgbColor rgb="FF003366"/>
      <rgbColor rgb="FF339966"/>
      <rgbColor rgb="FF003300"/>
      <rgbColor rgb="FF333300"/>
      <rgbColor rgb="FF993300"/>
      <rgbColor rgb="FF993366"/>
      <rgbColor rgb="FF1F4E79"/>
      <rgbColor rgb="FF3B3B3B"/>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zoomScale="65" zoomScaleNormal="65" workbookViewId="0">
      <selection activeCell="A33" sqref="A33"/>
    </sheetView>
  </sheetViews>
  <sheetFormatPr baseColWidth="10" defaultColWidth="8.83203125" defaultRowHeight="15"/>
  <cols>
    <col width="11" customWidth="1" min="1" max="1"/>
    <col width="25" customWidth="1" min="2" max="2"/>
    <col width="15" customWidth="1" min="3" max="3"/>
    <col width="64" customWidth="1" min="4" max="4"/>
    <col width="28" customWidth="1" min="5" max="5"/>
  </cols>
  <sheetData>
    <row r="1" ht="25.5" customHeight="1">
      <c r="A1" s="14" t="inlineStr">
        <is>
          <t>Variables del MDP epidemiológico (Q-learning tabular): Estados y Acciones</t>
        </is>
      </c>
    </row>
    <row r="2" ht="45.75" customHeight="1">
      <c r="A2" s="13" t="inlineStr">
        <is>
          <t>Estado s_t = (c_t, Δc_t, h_t, Δh_t, L_{t-1}, ΔL_t, preo_t)  →  |S| = 3⁷ = 2187        Acción a_t = (a_work, a_school, a_ptrans, a_conf)  →  |A| = 3⁴ = 81        Q = 177 147
Estados en 4 dimensiones (transmisión · presión sanitaria · coste socioeconómico · conducta social). Fuentes: RoS CoronaSurveys + CTIS/UMD + OxCGRT. Base: TFG.tex.</t>
        </is>
      </c>
    </row>
    <row r="3" ht="15.75" customHeight="1">
      <c r="A3" s="15" t="inlineStr">
        <is>
          <t>Leyenda</t>
        </is>
      </c>
      <c r="B3" s="16" t="inlineStr">
        <is>
          <t>Estado</t>
        </is>
      </c>
      <c r="C3" s="17" t="inlineStr">
        <is>
          <t>Acción</t>
        </is>
      </c>
    </row>
    <row r="5" ht="24" customHeight="1">
      <c r="A5" s="18" t="inlineStr">
        <is>
          <t>Código</t>
        </is>
      </c>
      <c r="B5" s="18" t="inlineStr">
        <is>
          <t>Variable (símbolo)</t>
        </is>
      </c>
      <c r="C5" s="18" t="inlineStr">
        <is>
          <t>¿Qué mide?</t>
        </is>
      </c>
      <c r="D5" s="18" t="inlineStr">
        <is>
          <t>Definición</t>
        </is>
      </c>
      <c r="E5" s="18" t="inlineStr">
        <is>
          <t>Valores / Discretización</t>
        </is>
      </c>
    </row>
    <row r="6" ht="18.75" customHeight="1">
      <c r="A6" s="9" t="inlineStr">
        <is>
          <t>Transmisión</t>
        </is>
      </c>
    </row>
    <row r="7" ht="49.5" customHeight="1">
      <c r="A7" s="19" t="inlineStr">
        <is>
          <t>E1</t>
        </is>
      </c>
      <c r="B7" s="20" t="inlineStr">
        <is>
          <t>c_t: Contagio (RoS)</t>
        </is>
      </c>
      <c r="C7" s="21" t="inlineStr">
        <is>
          <t>nivel</t>
        </is>
      </c>
      <c r="D7" s="20" t="inlineStr">
        <is>
          <t>Tasa de contagio observada (RoS de CoronaSurveys). Núcleo del estado: dice DÓNDE está la epidemia; es el objetivo a minimizar.</t>
        </is>
      </c>
      <c r="E7" s="20" t="inlineStr">
        <is>
          <t>Bajo / Medio / Alto (terciles por país)</t>
        </is>
      </c>
    </row>
    <row r="8" ht="49.5" customHeight="1">
      <c r="A8" s="19" t="inlineStr">
        <is>
          <t>E2</t>
        </is>
      </c>
      <c r="B8" s="20" t="inlineStr">
        <is>
          <t>Δc_t: Tendencia del contagio</t>
        </is>
      </c>
      <c r="C8" s="21" t="inlineStr">
        <is>
          <t>dirección</t>
        </is>
      </c>
      <c r="D8" s="20" t="inlineStr">
        <is>
          <t>Signo de la variación reciente del RoS (umbral δ). Restaura la propiedad de Markov y define la fase de 'Propagación' (rápida si c_t=M, lenta si c_t=B).</t>
        </is>
      </c>
      <c r="E8" s="20" t="inlineStr">
        <is>
          <t>−1 baja / 0 estable / +1 sube</t>
        </is>
      </c>
    </row>
    <row r="9" ht="18.75" customHeight="1">
      <c r="A9" s="9" t="inlineStr">
        <is>
          <t>Presión sanitaria</t>
        </is>
      </c>
    </row>
    <row r="10" ht="49.5" customHeight="1">
      <c r="A10" s="19" t="inlineStr">
        <is>
          <t>E3</t>
        </is>
      </c>
      <c r="B10" s="20" t="inlineStr">
        <is>
          <t>h_t: Presión hospitalaria</t>
        </is>
      </c>
      <c r="C10" s="21" t="inlineStr">
        <is>
          <t>nivel</t>
        </is>
      </c>
      <c r="D10" s="20" t="inlineStr">
        <is>
          <t>Carga del sistema sanitario. Aproximación: severidad sintomática de CTIS (CLI + dificultad respiratoria), a falta de datos de hospitalización/UCI.</t>
        </is>
      </c>
      <c r="E10" s="20" t="inlineStr">
        <is>
          <t>Bajo / Medio / Alto (terciles)</t>
        </is>
      </c>
    </row>
    <row r="11" ht="49.5" customHeight="1">
      <c r="A11" s="19" t="inlineStr">
        <is>
          <t>E4</t>
        </is>
      </c>
      <c r="B11" s="20" t="inlineStr">
        <is>
          <t>Δh_t: Tendencia hospitalaria</t>
        </is>
      </c>
      <c r="C11" s="21" t="inlineStr">
        <is>
          <t>dirección</t>
        </is>
      </c>
      <c r="D11" s="20" t="inlineStr">
        <is>
          <t>Signo de la variación de h. Independiente de Δc y adelantada: anticipa hacia dónde va la carga, que sigue al contagio con retardo.</t>
        </is>
      </c>
      <c r="E11" s="20" t="inlineStr">
        <is>
          <t>−1 / 0 / +1 (umbral δ_h)</t>
        </is>
      </c>
    </row>
    <row r="12" ht="18.75" customHeight="1">
      <c r="A12" s="9" t="inlineStr">
        <is>
          <t>Coste socioeconómico</t>
        </is>
      </c>
    </row>
    <row r="13" ht="49.5" customHeight="1">
      <c r="A13" s="19" t="inlineStr">
        <is>
          <t>E5</t>
        </is>
      </c>
      <c r="B13" s="20" t="inlineStr">
        <is>
          <t>L_{t-1}: Restricción vigente</t>
        </is>
      </c>
      <c r="C13" s="21" t="inlineStr">
        <is>
          <t>nivel</t>
        </is>
      </c>
      <c r="D13" s="20" t="inlineStr">
        <is>
          <t>Nivel de restricción en curso = coste ponderado de la acción anterior, coste(a_{t-1}). Define el eje de coste de la recompensa (sin / poco / mucho).</t>
        </is>
      </c>
      <c r="E13" s="20" t="inlineStr">
        <is>
          <t>Bajo / Medio / Alto (terciles del coste)</t>
        </is>
      </c>
    </row>
    <row r="14" ht="49.5" customHeight="1">
      <c r="A14" s="19" t="inlineStr">
        <is>
          <t>E6</t>
        </is>
      </c>
      <c r="B14" s="20" t="inlineStr">
        <is>
          <t>ΔL_t: Tendencia socioeconómica</t>
        </is>
      </c>
      <c r="C14" s="21" t="inlineStr">
        <is>
          <t>dirección</t>
        </is>
      </c>
      <c r="D14" s="20" t="inlineStr">
        <is>
          <t>Signo de la variación del coste: se endurecen (+1), se mantienen (0) o se relajan (−1).</t>
        </is>
      </c>
      <c r="E14" s="20" t="inlineStr">
        <is>
          <t>−1 / 0 / +1 (umbral δ_L)</t>
        </is>
      </c>
    </row>
    <row r="15" ht="18.75" customHeight="1">
      <c r="A15" s="9" t="inlineStr">
        <is>
          <t>Conducta social</t>
        </is>
      </c>
    </row>
    <row r="16" ht="49.5" customHeight="1">
      <c r="A16" s="19" t="inlineStr">
        <is>
          <t>E7</t>
        </is>
      </c>
      <c r="B16" s="20" t="inlineStr">
        <is>
          <t>preo_t: Preocupación</t>
        </is>
      </c>
      <c r="C16" s="21" t="inlineStr">
        <is>
          <t>cumplimiento</t>
        </is>
      </c>
      <c r="D16" s="20" t="inlineStr">
        <is>
          <t>Preocupación por la COVID (CTIS C3). Indicador del cumplimiento: modula CUÁNTO reduce el contagio una misma restricción. Su efecto lo modela el simulador.</t>
        </is>
      </c>
      <c r="E16" s="20" t="inlineStr">
        <is>
          <t>Bajo / Medio / Alto (terciles)</t>
        </is>
      </c>
    </row>
    <row r="17" ht="18.75" customHeight="1">
      <c r="A17" s="8" t="inlineStr">
        <is>
          <t>Acciones: palancas de intervención (OxCGRT)</t>
        </is>
      </c>
    </row>
    <row r="18" ht="45.75" customHeight="1">
      <c r="A18" s="22" t="inlineStr">
        <is>
          <t>A1</t>
        </is>
      </c>
      <c r="B18" s="23" t="inlineStr">
        <is>
          <t>a_work: Restricción laboral</t>
        </is>
      </c>
      <c r="C18" s="24" t="inlineStr">
        <is>
          <t>trabajo</t>
        </is>
      </c>
      <c r="D18" s="23" t="inlineStr">
        <is>
          <t>Cierre del trabajo (OxCGRT C2M). 0: sin restricciones; 1: parcial/teletrabajo; 2: cierre de no esenciales.</t>
        </is>
      </c>
      <c r="E18" s="23" t="inlineStr">
        <is>
          <t>{0, 1, 2}</t>
        </is>
      </c>
    </row>
    <row r="19" ht="45.75" customHeight="1">
      <c r="A19" s="22" t="inlineStr">
        <is>
          <t>A2</t>
        </is>
      </c>
      <c r="B19" s="23" t="inlineStr">
        <is>
          <t>a_school: Cierre de colegios</t>
        </is>
      </c>
      <c r="C19" s="24" t="inlineStr">
        <is>
          <t>colegios</t>
        </is>
      </c>
      <c r="D19" s="23" t="inlineStr">
        <is>
          <t>Cierre de centros educativos (OxCGRT C1M). 0: sin cierres; 1: niveles/híbrido; 2: cierre completo.</t>
        </is>
      </c>
      <c r="E19" s="23" t="inlineStr">
        <is>
          <t>{0, 1, 2}</t>
        </is>
      </c>
    </row>
    <row r="20" ht="45.75" customHeight="1">
      <c r="A20" s="22" t="inlineStr">
        <is>
          <t>A3</t>
        </is>
      </c>
      <c r="B20" s="23" t="inlineStr">
        <is>
          <t>a_ptrans: Transporte público</t>
        </is>
      </c>
      <c r="C20" s="24" t="inlineStr">
        <is>
          <t>transporte</t>
        </is>
      </c>
      <c r="D20" s="23" t="inlineStr">
        <is>
          <t>Cierre de transporte público (OxCGRT C5M). 0: sin restricciones; 1: reducción/parcial; 2: cierre.</t>
        </is>
      </c>
      <c r="E20" s="23" t="inlineStr">
        <is>
          <t>{0, 1, 2}</t>
        </is>
      </c>
    </row>
    <row r="21" ht="45.75" customHeight="1">
      <c r="A21" s="22" t="inlineStr">
        <is>
          <t>A4</t>
        </is>
      </c>
      <c r="B21" s="23" t="inlineStr">
        <is>
          <t>a_conf: Confinamiento</t>
        </is>
      </c>
      <c r="C21" s="24" t="inlineStr">
        <is>
          <t>confinamiento</t>
        </is>
      </c>
      <c r="D21" s="23" t="inlineStr">
        <is>
          <t>Confinamiento domiciliario (OxCGRT C6M). 0: libre; 1: parcial; 2: estricto. Medida MÁS gravosa (pesa el doble en el coste).</t>
        </is>
      </c>
      <c r="E21" s="23" t="inlineStr">
        <is>
          <t>{0, 1, 2}</t>
        </is>
      </c>
    </row>
    <row r="23" ht="19.5" customHeight="1">
      <c r="A23" s="7" t="inlineStr">
        <is>
          <t>Notas del modelo (resumen del TFG.tex)</t>
        </is>
      </c>
    </row>
    <row r="24" ht="30.75" customHeight="1">
      <c r="A24" s="6" t="inlineStr">
        <is>
          <t>Modelo.  Q-learning tabular clásico. 7 estados en 4 dimensiones + 4 palancas de acción. Tabla Q de 177 147 entradas. γ ∈ [0,1) alto (para 've' el retardo hospitalario); valor a fijar en la calibración.</t>
        </is>
      </c>
    </row>
    <row r="25" ht="30.75" customHeight="1">
      <c r="A25" s="6" t="inlineStr">
        <is>
          <t>Coste.  coste(a) = β_w·a_work + β_s·a_school + β_p·a_ptrans + β_c·a_conf, con β ≥ 0 a calibrar; el confinamiento (A4) es la más gravosa. Alimenta la restricción vigente (E5) y la recompensa.</t>
        </is>
      </c>
    </row>
    <row r="26" ht="17.25" customHeight="1">
      <c r="A26" s="6" t="inlineStr">
        <is>
          <t>Recompensa a trozos.  r = S(s_t) + K(s_t): parte de salud (según la fase) + parte de coste (según L_{t-1}).</t>
        </is>
      </c>
    </row>
    <row r="27" ht="30.75" customHeight="1">
      <c r="A27" s="6" t="inlineStr">
        <is>
          <t xml:space="preserve">   Fases:  Emergencia (c_t=A ó h_t=A) → prioriza salud, ignora el coste.  Propagación (Δc=+1; rápida c_t=M / lenta c_t=B) → corta la subida.  Calma (Δc≤0) → premia seguridad, castiga poco.</t>
        </is>
      </c>
    </row>
    <row r="28" ht="30.75" customHeight="1">
      <c r="A28" s="6" t="inlineStr">
        <is>
          <t xml:space="preserve">   Coste vigente:  sin coste (bajo) → 0.  poco (medio) → castiga el coste.  mucho (alto) → castiga el coste y premia relajar (sobre-restricción).</t>
        </is>
      </c>
    </row>
    <row r="29" ht="30.75" customHeight="1">
      <c r="A29" s="6" t="inlineStr">
        <is>
          <t xml:space="preserve">   Señales [0,1]:  castigos (−) = niveles (contagio, hospital, coste) y subidas δ_c, δ_h, δ_k;  premios (+) = mejoras μ_c, μ_h, μ_k y bono de seguridad β_c. Pesos a calibrar.</t>
        </is>
      </c>
    </row>
    <row r="30" ht="30.75" customHeight="1">
      <c r="A30" s="6" t="inlineStr">
        <is>
          <t>Markov.  Las tendencias Δc y Δh restauran (aprox.) la propiedad de Markov; el retardo hospitalario largo se trata en la recompensa y el descuento, no en el estado.</t>
        </is>
      </c>
    </row>
    <row r="31" ht="30.75" customHeight="1">
      <c r="A31" s="6" t="inlineStr">
        <is>
          <t>Preocupación (E7).  Observación del estado, no objetivo. Modula la eficacia de las medidas; su dinámica la aporta el simulador.</t>
        </is>
      </c>
    </row>
    <row r="32" ht="30.75" customHeight="1">
      <c r="A32" s="6" t="inlineStr">
        <is>
          <t>Descartadas.  'Contactos' (CTIS B7) y 'casos en la comunidad' (CTIS B6): peso muerto / redundante con el contagio. Se conservó solo la preocupación.</t>
        </is>
      </c>
    </row>
    <row r="33" ht="30.75" customHeight="1">
      <c r="A33" s="6" t="inlineStr">
        <is>
          <t>Matriz de pesos (otra hoja).  Celda (fila i → columna j) = peso causal de i sobre j, en [−1,1]. Diagonal = 0. Las acciones solo emiten. El contagio (E1) es el objetivo a minimizar.</t>
        </is>
      </c>
    </row>
  </sheetData>
  <mergeCells count="18">
    <mergeCell ref="A30:E30"/>
    <mergeCell ref="A29:E29"/>
    <mergeCell ref="A12:E12"/>
    <mergeCell ref="A26:E26"/>
    <mergeCell ref="A24:E24"/>
    <mergeCell ref="A2:E2"/>
    <mergeCell ref="A15:E15"/>
    <mergeCell ref="A28:E28"/>
    <mergeCell ref="A25:E25"/>
    <mergeCell ref="A33:E33"/>
    <mergeCell ref="A1:E1"/>
    <mergeCell ref="A23:E23"/>
    <mergeCell ref="A32:E32"/>
    <mergeCell ref="A31:E31"/>
    <mergeCell ref="A6:E6"/>
    <mergeCell ref="A17:E17"/>
    <mergeCell ref="A9:E9"/>
    <mergeCell ref="A27:E27"/>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D50"/>
  <sheetViews>
    <sheetView zoomScale="93" zoomScaleNormal="93" workbookViewId="0">
      <pane xSplit="1" ySplit="4" topLeftCell="B5" activePane="bottomRight" state="frozen"/>
      <selection pane="topRight" activeCell="B1" sqref="B1"/>
      <selection pane="bottomLeft" activeCell="A5" sqref="A5"/>
      <selection pane="bottomRight" activeCell="S18" sqref="S18"/>
    </sheetView>
  </sheetViews>
  <sheetFormatPr baseColWidth="10" defaultColWidth="8.83203125" defaultRowHeight="15"/>
  <cols>
    <col width="17" customWidth="1" min="1" max="1"/>
    <col width="6.5" customWidth="1" min="2" max="12"/>
  </cols>
  <sheetData>
    <row r="1" ht="25.5" customHeight="1">
      <c r="A1" s="14" t="inlineStr">
        <is>
          <t>MATRIZ DE PESOS PROXIMOS ESTADOS</t>
        </is>
      </c>
    </row>
    <row r="2" ht="27.75" customHeight="1">
      <c r="A2" s="13" t="inlineStr">
        <is>
          <t>Celda (fila i → columna j) = peso causal de i sobre j, en [−1, 1]. Vacío = sin relación. Diagonal = 0. Las acciones (A1-A4) solo emiten: sus columnas (en gris) no se rellenan.</t>
        </is>
      </c>
    </row>
    <row r="3">
      <c r="A3" s="5" t="inlineStr">
        <is>
          <t>Claude</t>
        </is>
      </c>
      <c r="B3" s="39" t="n"/>
      <c r="C3" s="39" t="n"/>
      <c r="D3" s="39" t="n"/>
      <c r="E3" s="39" t="n"/>
      <c r="F3" s="39" t="n"/>
      <c r="G3" s="39" t="n"/>
      <c r="H3" s="39" t="n"/>
      <c r="I3" s="39" t="n"/>
      <c r="J3" s="39" t="n"/>
      <c r="K3" s="39" t="n"/>
      <c r="L3" s="39" t="n"/>
    </row>
    <row r="4">
      <c r="A4" s="25" t="inlineStr">
        <is>
          <t>Desde \ Hacia</t>
        </is>
      </c>
      <c r="B4" s="26" t="inlineStr">
        <is>
          <t>E1</t>
        </is>
      </c>
      <c r="C4" s="26" t="inlineStr">
        <is>
          <t>E2</t>
        </is>
      </c>
      <c r="D4" s="26" t="inlineStr">
        <is>
          <t>E3</t>
        </is>
      </c>
      <c r="E4" s="26" t="inlineStr">
        <is>
          <t>E4</t>
        </is>
      </c>
      <c r="F4" s="26" t="inlineStr">
        <is>
          <t>E5</t>
        </is>
      </c>
      <c r="G4" s="26" t="inlineStr">
        <is>
          <t>E6</t>
        </is>
      </c>
      <c r="H4" s="26" t="inlineStr">
        <is>
          <t>E7</t>
        </is>
      </c>
      <c r="I4" s="27" t="inlineStr">
        <is>
          <t>A1</t>
        </is>
      </c>
      <c r="J4" s="27" t="inlineStr">
        <is>
          <t>A2</t>
        </is>
      </c>
      <c r="K4" s="27" t="inlineStr">
        <is>
          <t>A3</t>
        </is>
      </c>
      <c r="L4" s="27" t="inlineStr">
        <is>
          <t>A4</t>
        </is>
      </c>
    </row>
    <row r="5">
      <c r="A5" s="28" t="inlineStr">
        <is>
          <t>E1  Contagio</t>
        </is>
      </c>
      <c r="B5" s="29" t="n">
        <v>0</v>
      </c>
      <c r="C5" s="30" t="n"/>
      <c r="D5" s="31" t="n">
        <v>0.7</v>
      </c>
      <c r="E5" s="31" t="n"/>
      <c r="F5" s="30" t="n"/>
      <c r="G5" s="30" t="n"/>
      <c r="H5" s="31" t="n">
        <v>0.5</v>
      </c>
      <c r="I5" s="32" t="n"/>
      <c r="J5" s="32" t="n"/>
      <c r="K5" s="32" t="n"/>
      <c r="L5" s="32" t="n"/>
    </row>
    <row r="6">
      <c r="A6" s="28" t="inlineStr">
        <is>
          <t>E2  Tend. contagio</t>
        </is>
      </c>
      <c r="B6" s="31" t="n">
        <v>0.7</v>
      </c>
      <c r="C6" s="29" t="n">
        <v>0</v>
      </c>
      <c r="D6" s="31" t="n"/>
      <c r="E6" s="31" t="n"/>
      <c r="F6" s="30" t="n"/>
      <c r="G6" s="30" t="n"/>
      <c r="H6" s="31" t="n"/>
      <c r="I6" s="32" t="n"/>
      <c r="J6" s="32" t="n"/>
      <c r="K6" s="32" t="n"/>
      <c r="L6" s="32" t="n"/>
    </row>
    <row r="7">
      <c r="A7" s="28" t="inlineStr">
        <is>
          <t>E3  Presión hosp.</t>
        </is>
      </c>
      <c r="B7" s="30" t="n"/>
      <c r="C7" s="30" t="n"/>
      <c r="D7" s="29" t="n">
        <v>0</v>
      </c>
      <c r="E7" s="30" t="n"/>
      <c r="F7" s="30" t="n"/>
      <c r="G7" s="30" t="n"/>
      <c r="H7" s="31" t="n">
        <v>0.6</v>
      </c>
      <c r="I7" s="32" t="n"/>
      <c r="J7" s="32" t="n"/>
      <c r="K7" s="32" t="n"/>
      <c r="L7" s="32" t="n"/>
    </row>
    <row r="8">
      <c r="A8" s="28" t="inlineStr">
        <is>
          <t>E4  Tend. hosp.</t>
        </is>
      </c>
      <c r="B8" s="30" t="n"/>
      <c r="C8" s="30" t="n"/>
      <c r="D8" s="31" t="n">
        <v>0.7</v>
      </c>
      <c r="E8" s="29" t="n">
        <v>0</v>
      </c>
      <c r="F8" s="30" t="n"/>
      <c r="G8" s="30" t="n"/>
      <c r="H8" s="31" t="n"/>
      <c r="I8" s="32" t="n"/>
      <c r="J8" s="32" t="n"/>
      <c r="K8" s="32" t="n"/>
      <c r="L8" s="32" t="n"/>
    </row>
    <row r="9">
      <c r="A9" s="28" t="inlineStr">
        <is>
          <t>E5  Restr. vigente</t>
        </is>
      </c>
      <c r="B9" s="31" t="n">
        <v>-0.5</v>
      </c>
      <c r="C9" s="31" t="n"/>
      <c r="D9" s="30" t="n"/>
      <c r="E9" s="30" t="n"/>
      <c r="F9" s="29" t="n">
        <v>0</v>
      </c>
      <c r="G9" s="30" t="n"/>
      <c r="H9" s="30" t="n"/>
      <c r="I9" s="32" t="n"/>
      <c r="J9" s="32" t="n"/>
      <c r="K9" s="32" t="n"/>
      <c r="L9" s="32" t="n"/>
    </row>
    <row r="10">
      <c r="A10" s="28" t="inlineStr">
        <is>
          <t>E6  Tend. socioec.</t>
        </is>
      </c>
      <c r="B10" s="30" t="n"/>
      <c r="C10" s="30" t="n"/>
      <c r="D10" s="30" t="n"/>
      <c r="E10" s="30" t="n"/>
      <c r="F10" s="31" t="n">
        <v>0.6</v>
      </c>
      <c r="G10" s="29" t="n">
        <v>0</v>
      </c>
      <c r="H10" s="30" t="n"/>
      <c r="I10" s="32" t="n"/>
      <c r="J10" s="32" t="n"/>
      <c r="K10" s="32" t="n"/>
      <c r="L10" s="32" t="n"/>
    </row>
    <row r="11">
      <c r="A11" s="28" t="inlineStr">
        <is>
          <t>E7  Preocupación</t>
        </is>
      </c>
      <c r="B11" s="31" t="n"/>
      <c r="C11" s="31" t="n"/>
      <c r="D11" s="30" t="n"/>
      <c r="E11" s="30" t="n"/>
      <c r="F11" s="30" t="n"/>
      <c r="G11" s="30" t="n"/>
      <c r="H11" s="29" t="n">
        <v>0</v>
      </c>
      <c r="I11" s="32" t="n"/>
      <c r="J11" s="32" t="n"/>
      <c r="K11" s="32" t="n"/>
      <c r="L11" s="32" t="n"/>
    </row>
    <row r="12">
      <c r="A12" s="33" t="inlineStr">
        <is>
          <t>A1  Trabajo</t>
        </is>
      </c>
      <c r="B12" s="31" t="n">
        <v>-0.4</v>
      </c>
      <c r="C12" s="30" t="n"/>
      <c r="D12" s="30" t="n"/>
      <c r="E12" s="30" t="n"/>
      <c r="F12" s="31" t="n">
        <v>0.5</v>
      </c>
      <c r="G12" s="30" t="n"/>
      <c r="H12" s="30" t="n"/>
      <c r="I12" s="29" t="n">
        <v>0</v>
      </c>
      <c r="J12" s="32" t="n"/>
      <c r="K12" s="32" t="n"/>
      <c r="L12" s="32" t="n"/>
    </row>
    <row r="13">
      <c r="A13" s="33" t="inlineStr">
        <is>
          <t>A2  Colegios</t>
        </is>
      </c>
      <c r="B13" s="31" t="n">
        <v>-0.3</v>
      </c>
      <c r="C13" s="30" t="n"/>
      <c r="D13" s="30" t="n"/>
      <c r="E13" s="30" t="n"/>
      <c r="F13" s="31" t="n">
        <v>0.4</v>
      </c>
      <c r="G13" s="30" t="n"/>
      <c r="H13" s="30" t="n"/>
      <c r="I13" s="32" t="n"/>
      <c r="J13" s="29" t="n">
        <v>0</v>
      </c>
      <c r="K13" s="32" t="n"/>
      <c r="L13" s="32" t="n"/>
    </row>
    <row r="14">
      <c r="A14" s="33" t="inlineStr">
        <is>
          <t>A3  Transporte</t>
        </is>
      </c>
      <c r="B14" s="31" t="n">
        <v>-0.2</v>
      </c>
      <c r="C14" s="30" t="n"/>
      <c r="D14" s="30" t="n"/>
      <c r="E14" s="30" t="n"/>
      <c r="F14" s="31" t="n">
        <v>0.3</v>
      </c>
      <c r="G14" s="30" t="n"/>
      <c r="H14" s="30" t="n"/>
      <c r="I14" s="32" t="n"/>
      <c r="J14" s="32" t="n"/>
      <c r="K14" s="29" t="n">
        <v>0</v>
      </c>
      <c r="L14" s="32" t="n"/>
    </row>
    <row r="15">
      <c r="A15" s="33" t="inlineStr">
        <is>
          <t>A4  Confinamiento</t>
        </is>
      </c>
      <c r="B15" s="31" t="n">
        <v>-0.6</v>
      </c>
      <c r="C15" s="30" t="n"/>
      <c r="D15" s="30" t="n"/>
      <c r="E15" s="30" t="n"/>
      <c r="F15" s="31" t="n">
        <v>0.9</v>
      </c>
      <c r="G15" s="30" t="n"/>
      <c r="H15" s="30" t="n"/>
      <c r="I15" s="32" t="n"/>
      <c r="J15" s="32" t="n"/>
      <c r="K15" s="32" t="n"/>
      <c r="L15" s="29" t="n">
        <v>0</v>
      </c>
    </row>
    <row r="17" ht="45.75" customHeight="1">
      <c r="A17" s="11" t="inlineStr">
        <is>
          <t>Signos esperados:  acción→E1 &lt; 0 (las medidas reducen el contagio);  acción→E5 &gt; 0 (suben el coste vigente);  E1→E3 &gt; 0 (contagio → presión hospitalaria, con retardo);  E5→E1 &lt; 0;  E7 (preocupación)→E1 &lt; 0. El experto pone el peso en cada celda blanca.</t>
        </is>
      </c>
    </row>
    <row r="18">
      <c r="S18" s="10" t="inlineStr">
        <is>
          <t>PROMEDIO DE LOS 3</t>
        </is>
      </c>
      <c r="T18" s="39" t="n"/>
      <c r="U18" s="39" t="n"/>
      <c r="V18" s="39" t="n"/>
      <c r="W18" s="39" t="n"/>
      <c r="X18" s="39" t="n"/>
      <c r="Y18" s="39" t="n"/>
      <c r="Z18" s="39" t="n"/>
      <c r="AA18" s="39" t="n"/>
      <c r="AB18" s="39" t="n"/>
      <c r="AC18" s="39" t="n"/>
      <c r="AD18" s="39" t="n"/>
    </row>
    <row r="19">
      <c r="A19" s="4" t="inlineStr">
        <is>
          <t>Gemini</t>
        </is>
      </c>
      <c r="B19" s="39" t="n"/>
      <c r="C19" s="39" t="n"/>
      <c r="D19" s="39" t="n"/>
      <c r="E19" s="39" t="n"/>
      <c r="F19" s="39" t="n"/>
      <c r="G19" s="39" t="n"/>
      <c r="H19" s="39" t="n"/>
      <c r="I19" s="39" t="n"/>
      <c r="J19" s="39" t="n"/>
      <c r="K19" s="39" t="n"/>
      <c r="L19" s="39" t="n"/>
      <c r="S19" s="25" t="inlineStr">
        <is>
          <t>Desde \ Hacia</t>
        </is>
      </c>
      <c r="T19" s="26" t="inlineStr">
        <is>
          <t>E1</t>
        </is>
      </c>
      <c r="U19" s="26" t="inlineStr">
        <is>
          <t>E2</t>
        </is>
      </c>
      <c r="V19" s="26" t="inlineStr">
        <is>
          <t>E3</t>
        </is>
      </c>
      <c r="W19" s="26" t="inlineStr">
        <is>
          <t>E4</t>
        </is>
      </c>
      <c r="X19" s="26" t="inlineStr">
        <is>
          <t>E5</t>
        </is>
      </c>
      <c r="Y19" s="26" t="inlineStr">
        <is>
          <t>E6</t>
        </is>
      </c>
      <c r="Z19" s="26" t="inlineStr">
        <is>
          <t>E7</t>
        </is>
      </c>
      <c r="AA19" s="27" t="inlineStr">
        <is>
          <t>A1</t>
        </is>
      </c>
      <c r="AB19" s="27" t="inlineStr">
        <is>
          <t>A2</t>
        </is>
      </c>
      <c r="AC19" s="27" t="inlineStr">
        <is>
          <t>A3</t>
        </is>
      </c>
      <c r="AD19" s="27" t="inlineStr">
        <is>
          <t>A4</t>
        </is>
      </c>
    </row>
    <row r="20">
      <c r="A20" s="25" t="inlineStr">
        <is>
          <t>Desde \ Hacia</t>
        </is>
      </c>
      <c r="B20" s="26" t="inlineStr">
        <is>
          <t>E1</t>
        </is>
      </c>
      <c r="C20" s="26" t="inlineStr">
        <is>
          <t>E2</t>
        </is>
      </c>
      <c r="D20" s="26" t="inlineStr">
        <is>
          <t>E3</t>
        </is>
      </c>
      <c r="E20" s="26" t="inlineStr">
        <is>
          <t>E4</t>
        </is>
      </c>
      <c r="F20" s="26" t="inlineStr">
        <is>
          <t>E5</t>
        </is>
      </c>
      <c r="G20" s="26" t="inlineStr">
        <is>
          <t>E6</t>
        </is>
      </c>
      <c r="H20" s="26" t="inlineStr">
        <is>
          <t>E7</t>
        </is>
      </c>
      <c r="I20" s="27" t="inlineStr">
        <is>
          <t>A1</t>
        </is>
      </c>
      <c r="J20" s="27" t="inlineStr">
        <is>
          <t>A2</t>
        </is>
      </c>
      <c r="K20" s="27" t="inlineStr">
        <is>
          <t>A3</t>
        </is>
      </c>
      <c r="L20" s="27" t="inlineStr">
        <is>
          <t>A4</t>
        </is>
      </c>
      <c r="S20" s="28" t="inlineStr">
        <is>
          <t>E1  Contagio</t>
        </is>
      </c>
      <c r="T20" s="34">
        <f>(B5+B21+B38)/3</f>
        <v/>
      </c>
      <c r="U20" s="35">
        <f>(C5+C21+C38)/3</f>
        <v/>
      </c>
      <c r="V20" s="35">
        <f>(D5+D21+D38)/3</f>
        <v/>
      </c>
      <c r="W20" s="35">
        <f>(E5+E21+E38)/3</f>
        <v/>
      </c>
      <c r="X20" s="35">
        <f>(F5+F21+F38)/3</f>
        <v/>
      </c>
      <c r="Y20" s="35">
        <f>(G5+G21+G38)/3</f>
        <v/>
      </c>
      <c r="Z20" s="35">
        <f>(H5+H21+H38)/3</f>
        <v/>
      </c>
      <c r="AA20" s="32" t="n"/>
      <c r="AB20" s="32" t="n"/>
      <c r="AC20" s="32" t="n"/>
      <c r="AD20" s="32" t="n"/>
    </row>
    <row r="21">
      <c r="A21" s="28" t="inlineStr">
        <is>
          <t>E1  Contagio</t>
        </is>
      </c>
      <c r="B21" s="29" t="n">
        <v>0</v>
      </c>
      <c r="C21" s="31" t="n">
        <v>0.6</v>
      </c>
      <c r="D21" s="31" t="n">
        <v>0.7</v>
      </c>
      <c r="E21" s="30" t="n"/>
      <c r="F21" s="30" t="n"/>
      <c r="G21" s="30" t="n"/>
      <c r="H21" s="31" t="n">
        <v>0.5</v>
      </c>
      <c r="I21" s="32" t="n"/>
      <c r="J21" s="32" t="n"/>
      <c r="K21" s="32" t="n"/>
      <c r="L21" s="32" t="n"/>
      <c r="S21" s="28" t="inlineStr">
        <is>
          <t>E2  Tend. contagio</t>
        </is>
      </c>
      <c r="T21" s="35">
        <f>(B6+B22+B39)/3</f>
        <v/>
      </c>
      <c r="U21" s="34">
        <f>(C6+C22+C39)/3</f>
        <v/>
      </c>
      <c r="V21" s="35">
        <f>(D6+D22+D39)/3</f>
        <v/>
      </c>
      <c r="W21" s="35">
        <f>(E6+E22+E39)/3</f>
        <v/>
      </c>
      <c r="X21" s="35">
        <f>(F6+F22+F39)/3</f>
        <v/>
      </c>
      <c r="Y21" s="35">
        <f>(G6+G22+G39)/3</f>
        <v/>
      </c>
      <c r="Z21" s="35">
        <f>(H6+H22+H39)/3</f>
        <v/>
      </c>
      <c r="AA21" s="32" t="n"/>
      <c r="AB21" s="32" t="n"/>
      <c r="AC21" s="32" t="n"/>
      <c r="AD21" s="32" t="n"/>
    </row>
    <row r="22">
      <c r="A22" s="28" t="inlineStr">
        <is>
          <t>E2  Tend. contagio</t>
        </is>
      </c>
      <c r="B22" s="31" t="n">
        <v>0.4</v>
      </c>
      <c r="C22" s="29" t="n">
        <v>0</v>
      </c>
      <c r="D22" s="30" t="n"/>
      <c r="E22" s="30" t="n"/>
      <c r="F22" s="30" t="n"/>
      <c r="G22" s="30" t="n"/>
      <c r="H22" s="30" t="n"/>
      <c r="I22" s="32" t="n"/>
      <c r="J22" s="32" t="n"/>
      <c r="K22" s="32" t="n"/>
      <c r="L22" s="32" t="n"/>
      <c r="S22" s="28" t="inlineStr">
        <is>
          <t>E3  Presión hosp.</t>
        </is>
      </c>
      <c r="T22" s="35">
        <f>(B7+B23+B40)/3</f>
        <v/>
      </c>
      <c r="U22" s="35">
        <f>(C7+C23+C40)/3</f>
        <v/>
      </c>
      <c r="V22" s="34">
        <f>(D7+D23+D40)/3</f>
        <v/>
      </c>
      <c r="W22" s="35">
        <f>(E7+E23+E40)/3</f>
        <v/>
      </c>
      <c r="X22" s="35">
        <f>(F7+F23+F40)/3</f>
        <v/>
      </c>
      <c r="Y22" s="35">
        <f>(G7+G23+G40)/3</f>
        <v/>
      </c>
      <c r="Z22" s="35">
        <f>(H7+H23+H40)/3</f>
        <v/>
      </c>
      <c r="AA22" s="32" t="n"/>
      <c r="AB22" s="32" t="n"/>
      <c r="AC22" s="32" t="n"/>
      <c r="AD22" s="32" t="n"/>
    </row>
    <row r="23">
      <c r="A23" s="28" t="inlineStr">
        <is>
          <t>E3  Presión hosp.</t>
        </is>
      </c>
      <c r="B23" s="30" t="n"/>
      <c r="C23" s="30" t="n"/>
      <c r="D23" s="29" t="n">
        <v>0</v>
      </c>
      <c r="E23" s="31" t="n">
        <v>0.6</v>
      </c>
      <c r="F23" s="30" t="n"/>
      <c r="G23" s="30" t="n"/>
      <c r="H23" s="31" t="n">
        <v>0.7</v>
      </c>
      <c r="I23" s="32" t="n"/>
      <c r="J23" s="32" t="n"/>
      <c r="K23" s="32" t="n"/>
      <c r="L23" s="32" t="n"/>
      <c r="S23" s="28" t="inlineStr">
        <is>
          <t>E4  Tend. hosp.</t>
        </is>
      </c>
      <c r="T23" s="35">
        <f>(B8+B24+B41)/3</f>
        <v/>
      </c>
      <c r="U23" s="35">
        <f>(C8+C24+C41)/3</f>
        <v/>
      </c>
      <c r="V23" s="35">
        <f>(D8+D24+D41)/3</f>
        <v/>
      </c>
      <c r="W23" s="34">
        <f>(E8+E24+E41)/3</f>
        <v/>
      </c>
      <c r="X23" s="35">
        <f>(F8+F24+F41)/3</f>
        <v/>
      </c>
      <c r="Y23" s="35">
        <f>(G8+G24+G41)/3</f>
        <v/>
      </c>
      <c r="Z23" s="35">
        <f>(H8+H24+H41)/3</f>
        <v/>
      </c>
      <c r="AA23" s="32" t="n"/>
      <c r="AB23" s="32" t="n"/>
      <c r="AC23" s="32" t="n"/>
      <c r="AD23" s="32" t="n"/>
    </row>
    <row r="24">
      <c r="A24" s="28" t="inlineStr">
        <is>
          <t>E4  Tend. hosp.</t>
        </is>
      </c>
      <c r="B24" s="30" t="n"/>
      <c r="C24" s="30" t="n"/>
      <c r="D24" s="31" t="n">
        <v>0.4</v>
      </c>
      <c r="E24" s="29" t="n">
        <v>0</v>
      </c>
      <c r="F24" s="30" t="n"/>
      <c r="G24" s="30" t="n"/>
      <c r="H24" s="30" t="n"/>
      <c r="I24" s="32" t="n"/>
      <c r="J24" s="32" t="n"/>
      <c r="K24" s="32" t="n"/>
      <c r="L24" s="32" t="n"/>
      <c r="S24" s="28" t="inlineStr">
        <is>
          <t>E5  Restr. vigente</t>
        </is>
      </c>
      <c r="T24" s="35">
        <f>(B9+B25+B42)/3</f>
        <v/>
      </c>
      <c r="U24" s="35">
        <f>(C9+C25+C42)/3</f>
        <v/>
      </c>
      <c r="V24" s="35">
        <f>(D9+D25+D42)/3</f>
        <v/>
      </c>
      <c r="W24" s="35">
        <f>(E9+E25+E42)/3</f>
        <v/>
      </c>
      <c r="X24" s="34">
        <f>(F9+F25+F42)/3</f>
        <v/>
      </c>
      <c r="Y24" s="35">
        <f>(G9+G25+G42)/3</f>
        <v/>
      </c>
      <c r="Z24" s="35">
        <f>(H9+H25+H42)/3</f>
        <v/>
      </c>
      <c r="AA24" s="32" t="n"/>
      <c r="AB24" s="32" t="n"/>
      <c r="AC24" s="32" t="n"/>
      <c r="AD24" s="32" t="n"/>
    </row>
    <row r="25">
      <c r="A25" s="28" t="inlineStr">
        <is>
          <t>E5  Restr. vigente</t>
        </is>
      </c>
      <c r="B25" s="31" t="n">
        <v>-0.2</v>
      </c>
      <c r="C25" s="30" t="n"/>
      <c r="D25" s="30" t="n"/>
      <c r="E25" s="30" t="n"/>
      <c r="F25" s="29" t="n">
        <v>0</v>
      </c>
      <c r="G25" s="31" t="n">
        <v>0.3</v>
      </c>
      <c r="H25" s="30" t="n"/>
      <c r="I25" s="32" t="n"/>
      <c r="J25" s="32" t="n"/>
      <c r="K25" s="32" t="n"/>
      <c r="L25" s="32" t="n"/>
      <c r="S25" s="28" t="inlineStr">
        <is>
          <t>E6  Tend. socioec.</t>
        </is>
      </c>
      <c r="T25" s="35">
        <f>(B10+B26+B43)/3</f>
        <v/>
      </c>
      <c r="U25" s="35">
        <f>(C10+C26+C43)/3</f>
        <v/>
      </c>
      <c r="V25" s="35">
        <f>(D10+D26+D43)/3</f>
        <v/>
      </c>
      <c r="W25" s="35">
        <f>(E10+E26+E43)/3</f>
        <v/>
      </c>
      <c r="X25" s="35">
        <f>(F10+F26+F43)/3</f>
        <v/>
      </c>
      <c r="Y25" s="34">
        <f>(G10+G26+G43)/3</f>
        <v/>
      </c>
      <c r="Z25" s="35">
        <f>(H10+H26+H43)/3</f>
        <v/>
      </c>
      <c r="AA25" s="32" t="n"/>
      <c r="AB25" s="32" t="n"/>
      <c r="AC25" s="32" t="n"/>
      <c r="AD25" s="32" t="n"/>
    </row>
    <row r="26">
      <c r="A26" s="28" t="inlineStr">
        <is>
          <t>E6  Tend. socioec.</t>
        </is>
      </c>
      <c r="B26" s="30" t="n"/>
      <c r="C26" s="30" t="n"/>
      <c r="D26" s="30" t="n"/>
      <c r="E26" s="30" t="n"/>
      <c r="F26" s="31" t="n">
        <v>0.4</v>
      </c>
      <c r="G26" s="29" t="n">
        <v>0</v>
      </c>
      <c r="H26" s="30" t="n"/>
      <c r="I26" s="32" t="n"/>
      <c r="J26" s="32" t="n"/>
      <c r="K26" s="32" t="n"/>
      <c r="L26" s="32" t="n"/>
      <c r="S26" s="28" t="inlineStr">
        <is>
          <t>E7  Preocupación</t>
        </is>
      </c>
      <c r="T26" s="35">
        <f>(B11+B27+B44)/3</f>
        <v/>
      </c>
      <c r="U26" s="35">
        <f>(C11+C27+C44)/3</f>
        <v/>
      </c>
      <c r="V26" s="35">
        <f>(D11+D27+D44)/3</f>
        <v/>
      </c>
      <c r="W26" s="35">
        <f>(E11+E27+E44)/3</f>
        <v/>
      </c>
      <c r="X26" s="35">
        <f>(F11+F27+F44)/3</f>
        <v/>
      </c>
      <c r="Y26" s="35">
        <f>(G11+G27+G44)/3</f>
        <v/>
      </c>
      <c r="Z26" s="34">
        <f>(H11+H27+H44)/3</f>
        <v/>
      </c>
      <c r="AA26" s="32" t="n"/>
      <c r="AB26" s="32" t="n"/>
      <c r="AC26" s="32" t="n"/>
      <c r="AD26" s="32" t="n"/>
    </row>
    <row r="27">
      <c r="A27" s="28" t="inlineStr">
        <is>
          <t>E7  Preocupación</t>
        </is>
      </c>
      <c r="B27" s="31" t="n">
        <v>-0.5</v>
      </c>
      <c r="C27" s="31" t="n">
        <v>-0.4</v>
      </c>
      <c r="D27" s="30" t="n"/>
      <c r="E27" s="30" t="n"/>
      <c r="F27" s="30" t="n"/>
      <c r="G27" s="30" t="n"/>
      <c r="H27" s="29" t="n">
        <v>0</v>
      </c>
      <c r="I27" s="32" t="n"/>
      <c r="J27" s="32" t="n"/>
      <c r="K27" s="32" t="n"/>
      <c r="L27" s="32" t="n"/>
      <c r="S27" s="33" t="inlineStr">
        <is>
          <t>A1  Trabajo</t>
        </is>
      </c>
      <c r="T27" s="35">
        <f>(B12+B28+B45)/3</f>
        <v/>
      </c>
      <c r="U27" s="35">
        <f>(C12+C28+C45)/3</f>
        <v/>
      </c>
      <c r="V27" s="35">
        <f>(D12+D28+D45)/3</f>
        <v/>
      </c>
      <c r="W27" s="35">
        <f>(E12+E28+E45)/3</f>
        <v/>
      </c>
      <c r="X27" s="35">
        <f>(F12+F28+F45)/3</f>
        <v/>
      </c>
      <c r="Y27" s="35">
        <f>(G12+G28+G45)/3</f>
        <v/>
      </c>
      <c r="Z27" s="35">
        <f>(H12+H28+H45)/3</f>
        <v/>
      </c>
      <c r="AA27" s="29" t="n">
        <v>0</v>
      </c>
      <c r="AB27" s="32" t="n"/>
      <c r="AC27" s="32" t="n"/>
      <c r="AD27" s="32" t="n"/>
    </row>
    <row r="28">
      <c r="A28" s="33" t="inlineStr">
        <is>
          <t>A1  Trabajo</t>
        </is>
      </c>
      <c r="B28" s="31" t="n">
        <v>-0.4</v>
      </c>
      <c r="C28" s="31" t="n">
        <v>-0.3</v>
      </c>
      <c r="D28" s="30" t="n"/>
      <c r="E28" s="30" t="n"/>
      <c r="F28" s="31" t="n">
        <v>0.4</v>
      </c>
      <c r="G28" s="31" t="n">
        <v>0.3</v>
      </c>
      <c r="H28" s="30" t="n"/>
      <c r="I28" s="29" t="n">
        <v>0</v>
      </c>
      <c r="J28" s="32" t="n"/>
      <c r="K28" s="32" t="n"/>
      <c r="L28" s="32" t="n"/>
      <c r="S28" s="33" t="inlineStr">
        <is>
          <t>A2  Colegios</t>
        </is>
      </c>
      <c r="T28" s="35">
        <f>(B13+B29+B46)/3</f>
        <v/>
      </c>
      <c r="U28" s="35">
        <f>(C13+C29+C46)/3</f>
        <v/>
      </c>
      <c r="V28" s="35">
        <f>(D13+D29+D46)/3</f>
        <v/>
      </c>
      <c r="W28" s="35">
        <f>(E13+E29+E46)/3</f>
        <v/>
      </c>
      <c r="X28" s="35">
        <f>(F13+F29+F46)/3</f>
        <v/>
      </c>
      <c r="Y28" s="35">
        <f>(G13+G29+G46)/3</f>
        <v/>
      </c>
      <c r="Z28" s="35">
        <f>(H13+H29+H46)/3</f>
        <v/>
      </c>
      <c r="AA28" s="32" t="n"/>
      <c r="AB28" s="29" t="n">
        <v>0</v>
      </c>
      <c r="AC28" s="32" t="n"/>
      <c r="AD28" s="32" t="n"/>
    </row>
    <row r="29">
      <c r="A29" s="33" t="inlineStr">
        <is>
          <t>A2  Colegios</t>
        </is>
      </c>
      <c r="B29" s="31" t="n">
        <v>-0.3</v>
      </c>
      <c r="C29" s="31" t="n">
        <v>-0.2</v>
      </c>
      <c r="D29" s="30" t="n"/>
      <c r="E29" s="30" t="n"/>
      <c r="F29" s="31" t="n">
        <v>0.3</v>
      </c>
      <c r="G29" s="31" t="n">
        <v>0.2</v>
      </c>
      <c r="H29" s="30" t="n"/>
      <c r="I29" s="32" t="n"/>
      <c r="J29" s="29" t="n">
        <v>0</v>
      </c>
      <c r="K29" s="32" t="n"/>
      <c r="L29" s="32" t="n"/>
      <c r="S29" s="33" t="inlineStr">
        <is>
          <t>A3  Transporte</t>
        </is>
      </c>
      <c r="T29" s="35">
        <f>(B14+B30+B47)/3</f>
        <v/>
      </c>
      <c r="U29" s="35">
        <f>(C14+C30+C47)/3</f>
        <v/>
      </c>
      <c r="V29" s="35">
        <f>(D14+D30+D47)/3</f>
        <v/>
      </c>
      <c r="W29" s="35">
        <f>(E14+E30+E47)/3</f>
        <v/>
      </c>
      <c r="X29" s="35">
        <f>(F14+F30+F47)/3</f>
        <v/>
      </c>
      <c r="Y29" s="35">
        <f>(G14+G30+G47)/3</f>
        <v/>
      </c>
      <c r="Z29" s="35">
        <f>(H14+H30+H47)/3</f>
        <v/>
      </c>
      <c r="AA29" s="32" t="n"/>
      <c r="AB29" s="32" t="n"/>
      <c r="AC29" s="29" t="n">
        <v>0</v>
      </c>
      <c r="AD29" s="32" t="n"/>
    </row>
    <row r="30">
      <c r="A30" s="33" t="inlineStr">
        <is>
          <t>A3  Transporte</t>
        </is>
      </c>
      <c r="B30" s="31" t="n">
        <v>-0.2</v>
      </c>
      <c r="C30" s="31" t="n">
        <v>-0.1</v>
      </c>
      <c r="D30" s="30" t="n"/>
      <c r="E30" s="30" t="n"/>
      <c r="F30" s="31" t="n">
        <v>0.2</v>
      </c>
      <c r="G30" s="31" t="n">
        <v>0.1</v>
      </c>
      <c r="H30" s="30" t="n"/>
      <c r="I30" s="32" t="n"/>
      <c r="J30" s="32" t="n"/>
      <c r="K30" s="29" t="n">
        <v>0</v>
      </c>
      <c r="L30" s="32" t="n"/>
      <c r="S30" s="33" t="inlineStr">
        <is>
          <t>A4  Confinamiento</t>
        </is>
      </c>
      <c r="T30" s="35">
        <f>(B15+B31+B48)/3</f>
        <v/>
      </c>
      <c r="U30" s="35">
        <f>(C15+C31+C48)/3</f>
        <v/>
      </c>
      <c r="V30" s="35">
        <f>(D15+D31+D48)/3</f>
        <v/>
      </c>
      <c r="W30" s="35">
        <f>(E15+E31+E48)/3</f>
        <v/>
      </c>
      <c r="X30" s="35">
        <f>(F15+F31+F48)/3</f>
        <v/>
      </c>
      <c r="Y30" s="35">
        <f>(G15+G31+G48)/3</f>
        <v/>
      </c>
      <c r="Z30" s="35">
        <f>(H15+H31+H48)/3</f>
        <v/>
      </c>
      <c r="AA30" s="32" t="n"/>
      <c r="AB30" s="32" t="n"/>
      <c r="AC30" s="32" t="n"/>
      <c r="AD30" s="29" t="n">
        <v>0</v>
      </c>
    </row>
    <row r="31">
      <c r="A31" s="33" t="inlineStr">
        <is>
          <t>A4  Confinamiento</t>
        </is>
      </c>
      <c r="B31" s="31" t="n">
        <v>-0.8</v>
      </c>
      <c r="C31" s="31" t="n">
        <v>-0.6</v>
      </c>
      <c r="D31" s="30" t="n"/>
      <c r="E31" s="30" t="n"/>
      <c r="F31" s="31" t="n">
        <v>0.8</v>
      </c>
      <c r="G31" s="31" t="n">
        <v>0.6</v>
      </c>
      <c r="H31" s="30" t="n"/>
      <c r="I31" s="32" t="n"/>
      <c r="J31" s="32" t="n"/>
      <c r="K31" s="32" t="n"/>
      <c r="L31" s="29" t="n">
        <v>0</v>
      </c>
    </row>
    <row r="33" ht="45.75" customHeight="1">
      <c r="A33" s="11" t="inlineStr">
        <is>
          <t>Signos esperados:  acción→E1 &lt; 0 (las medidas reducen el contagio);  acción→E5 &gt; 0 (suben el coste vigente);  E1→E3 &gt; 0 (contagio → presión hospitalaria, con retardo);  E5→E1 &lt; 0;  E7 (preocupación)→E1 &lt; 0. El experto pone el peso en cada celda blanca.</t>
        </is>
      </c>
    </row>
    <row r="36">
      <c r="A36" s="3" t="inlineStr">
        <is>
          <t>ChatGpt</t>
        </is>
      </c>
      <c r="B36" s="39" t="n"/>
      <c r="C36" s="39" t="n"/>
      <c r="D36" s="39" t="n"/>
      <c r="E36" s="39" t="n"/>
      <c r="F36" s="39" t="n"/>
      <c r="G36" s="39" t="n"/>
      <c r="H36" s="39" t="n"/>
      <c r="I36" s="39" t="n"/>
      <c r="J36" s="39" t="n"/>
      <c r="K36" s="39" t="n"/>
      <c r="L36" s="39" t="n"/>
    </row>
    <row r="37">
      <c r="A37" s="25" t="inlineStr">
        <is>
          <t>Desde \ Hacia</t>
        </is>
      </c>
      <c r="B37" s="26" t="inlineStr">
        <is>
          <t>E1</t>
        </is>
      </c>
      <c r="C37" s="26" t="inlineStr">
        <is>
          <t>E2</t>
        </is>
      </c>
      <c r="D37" s="26" t="inlineStr">
        <is>
          <t>E3</t>
        </is>
      </c>
      <c r="E37" s="26" t="inlineStr">
        <is>
          <t>E4</t>
        </is>
      </c>
      <c r="F37" s="26" t="inlineStr">
        <is>
          <t>E5</t>
        </is>
      </c>
      <c r="G37" s="26" t="inlineStr">
        <is>
          <t>E6</t>
        </is>
      </c>
      <c r="H37" s="26" t="inlineStr">
        <is>
          <t>E7</t>
        </is>
      </c>
      <c r="I37" s="27" t="inlineStr">
        <is>
          <t>A1</t>
        </is>
      </c>
      <c r="J37" s="27" t="inlineStr">
        <is>
          <t>A2</t>
        </is>
      </c>
      <c r="K37" s="27" t="inlineStr">
        <is>
          <t>A3</t>
        </is>
      </c>
      <c r="L37" s="27" t="inlineStr">
        <is>
          <t>A4</t>
        </is>
      </c>
    </row>
    <row r="38">
      <c r="A38" s="28" t="inlineStr">
        <is>
          <t>E1  Contagio</t>
        </is>
      </c>
      <c r="B38" s="29" t="n">
        <v>0</v>
      </c>
      <c r="C38" s="30" t="n"/>
      <c r="D38" s="36" t="n">
        <v>0.85</v>
      </c>
      <c r="E38" s="30" t="n"/>
      <c r="F38" s="30" t="n"/>
      <c r="G38" s="30" t="n"/>
      <c r="H38" s="36" t="n">
        <v>0.45</v>
      </c>
      <c r="I38" s="32" t="n"/>
      <c r="J38" s="32" t="n"/>
      <c r="K38" s="32" t="n"/>
      <c r="L38" s="32" t="n"/>
    </row>
    <row r="39">
      <c r="A39" s="28" t="inlineStr">
        <is>
          <t>E2  Tend. contagio</t>
        </is>
      </c>
      <c r="B39" s="36" t="n">
        <v>0.75</v>
      </c>
      <c r="C39" s="29" t="n">
        <v>0</v>
      </c>
      <c r="D39" s="30" t="n"/>
      <c r="E39" s="30" t="n"/>
      <c r="F39" s="30" t="n"/>
      <c r="G39" s="30" t="n"/>
      <c r="H39" s="30" t="n"/>
      <c r="I39" s="32" t="n"/>
      <c r="J39" s="32" t="n"/>
      <c r="K39" s="32" t="n"/>
      <c r="L39" s="32" t="n"/>
    </row>
    <row r="40">
      <c r="A40" s="28" t="inlineStr">
        <is>
          <t>E3  Presión hosp.</t>
        </is>
      </c>
      <c r="B40" s="30" t="n"/>
      <c r="C40" s="30" t="n"/>
      <c r="D40" s="29" t="n">
        <v>0</v>
      </c>
      <c r="E40" s="30" t="n"/>
      <c r="F40" s="30" t="n"/>
      <c r="G40" s="30" t="n"/>
      <c r="H40" s="36" t="n">
        <v>0.6</v>
      </c>
      <c r="I40" s="32" t="n"/>
      <c r="J40" s="32" t="n"/>
      <c r="K40" s="32" t="n"/>
      <c r="L40" s="32" t="n"/>
    </row>
    <row r="41">
      <c r="A41" s="28" t="inlineStr">
        <is>
          <t>E4  Tend. hosp.</t>
        </is>
      </c>
      <c r="B41" s="30" t="n"/>
      <c r="C41" s="30" t="n"/>
      <c r="D41" s="36" t="n">
        <v>0.7</v>
      </c>
      <c r="E41" s="29" t="n">
        <v>0</v>
      </c>
      <c r="F41" s="30" t="n"/>
      <c r="G41" s="30" t="n"/>
      <c r="H41" s="30" t="n"/>
      <c r="I41" s="32" t="n"/>
      <c r="J41" s="32" t="n"/>
      <c r="K41" s="32" t="n"/>
      <c r="L41" s="32" t="n"/>
    </row>
    <row r="42">
      <c r="A42" s="28" t="inlineStr">
        <is>
          <t>E5  Restr. vigente</t>
        </is>
      </c>
      <c r="B42" s="30" t="n"/>
      <c r="C42" s="30" t="n"/>
      <c r="D42" s="30" t="n"/>
      <c r="E42" s="30" t="n"/>
      <c r="F42" s="29" t="n">
        <v>0</v>
      </c>
      <c r="G42" s="36" t="n">
        <v>0.8</v>
      </c>
      <c r="H42" s="30" t="n"/>
      <c r="I42" s="32" t="n"/>
      <c r="J42" s="32" t="n"/>
      <c r="K42" s="32" t="n"/>
      <c r="L42" s="32" t="n"/>
    </row>
    <row r="43">
      <c r="A43" s="28" t="inlineStr">
        <is>
          <t>E6  Tend. socioec.</t>
        </is>
      </c>
      <c r="B43" s="30" t="n"/>
      <c r="C43" s="30" t="n"/>
      <c r="D43" s="30" t="n"/>
      <c r="E43" s="30" t="n"/>
      <c r="F43" s="30" t="n"/>
      <c r="G43" s="29" t="n">
        <v>0</v>
      </c>
      <c r="H43" s="36" t="n"/>
      <c r="I43" s="32" t="n"/>
      <c r="J43" s="32" t="n"/>
      <c r="K43" s="32" t="n"/>
      <c r="L43" s="32" t="n"/>
    </row>
    <row r="44">
      <c r="A44" s="28" t="inlineStr">
        <is>
          <t>E7  Preocupación</t>
        </is>
      </c>
      <c r="B44" s="36" t="n"/>
      <c r="C44" s="30" t="n"/>
      <c r="D44" s="30" t="n"/>
      <c r="E44" s="30" t="n"/>
      <c r="F44" s="30" t="n"/>
      <c r="G44" s="30" t="n"/>
      <c r="H44" s="29" t="n">
        <v>0</v>
      </c>
      <c r="I44" s="32" t="n"/>
      <c r="J44" s="32" t="n"/>
      <c r="K44" s="32" t="n"/>
      <c r="L44" s="32" t="n"/>
    </row>
    <row r="45">
      <c r="A45" s="33" t="inlineStr">
        <is>
          <t>A1  Trabajo</t>
        </is>
      </c>
      <c r="B45" s="36" t="n">
        <v>-0.55</v>
      </c>
      <c r="C45" s="30" t="n"/>
      <c r="D45" s="30" t="n"/>
      <c r="E45" s="30" t="n"/>
      <c r="F45" s="36" t="n">
        <v>0.5</v>
      </c>
      <c r="G45" s="30" t="n"/>
      <c r="H45" s="30" t="n"/>
      <c r="I45" s="29" t="n">
        <v>0</v>
      </c>
      <c r="J45" s="32" t="n"/>
      <c r="K45" s="32" t="n"/>
      <c r="L45" s="32" t="n"/>
    </row>
    <row r="46">
      <c r="A46" s="33" t="inlineStr">
        <is>
          <t>A2  Colegios</t>
        </is>
      </c>
      <c r="B46" s="36" t="n">
        <v>-0.35</v>
      </c>
      <c r="C46" s="30" t="n"/>
      <c r="D46" s="30" t="n"/>
      <c r="E46" s="30" t="n"/>
      <c r="F46" s="36" t="n">
        <v>0.4</v>
      </c>
      <c r="G46" s="30" t="n"/>
      <c r="H46" s="30" t="n"/>
      <c r="I46" s="32" t="n"/>
      <c r="J46" s="29" t="n">
        <v>0</v>
      </c>
      <c r="K46" s="32" t="n"/>
      <c r="L46" s="32" t="n"/>
    </row>
    <row r="47">
      <c r="A47" s="33" t="inlineStr">
        <is>
          <t>A3  Transporte</t>
        </is>
      </c>
      <c r="B47" s="36" t="n">
        <v>-0.25</v>
      </c>
      <c r="C47" s="30" t="n"/>
      <c r="D47" s="30" t="n"/>
      <c r="E47" s="30" t="n"/>
      <c r="F47" s="36" t="n">
        <v>0.3</v>
      </c>
      <c r="G47" s="30" t="n"/>
      <c r="H47" s="30" t="n"/>
      <c r="I47" s="32" t="n"/>
      <c r="J47" s="32" t="n"/>
      <c r="K47" s="29" t="n">
        <v>0</v>
      </c>
      <c r="L47" s="32" t="n"/>
    </row>
    <row r="48">
      <c r="A48" s="33" t="inlineStr">
        <is>
          <t>A4  Confinamiento</t>
        </is>
      </c>
      <c r="B48" s="36" t="n">
        <v>-0.9</v>
      </c>
      <c r="C48" s="30" t="n"/>
      <c r="D48" s="30" t="n"/>
      <c r="E48" s="30" t="n"/>
      <c r="F48" s="36" t="n">
        <v>1</v>
      </c>
      <c r="G48" s="30" t="n"/>
      <c r="H48" s="30" t="n"/>
      <c r="I48" s="32" t="n"/>
      <c r="J48" s="32" t="n"/>
      <c r="K48" s="32" t="n"/>
      <c r="L48" s="29" t="n">
        <v>0</v>
      </c>
    </row>
    <row r="50" ht="45.75" customHeight="1">
      <c r="A50" s="11" t="inlineStr">
        <is>
          <t>Signos esperados:  acción→E1 &lt; 0 (las medidas reducen el contagio);  acción→E5 &gt; 0 (suben el coste vigente);  E1→E3 &gt; 0 (contagio → presión hospitalaria, con retardo);  E5→E1 &lt; 0;  E7 (preocupación)→E1 &lt; 0. El experto pone el peso en cada celda blanca.</t>
        </is>
      </c>
    </row>
  </sheetData>
  <mergeCells count="9">
    <mergeCell ref="A2:L2"/>
    <mergeCell ref="A19:L19"/>
    <mergeCell ref="A33:L33"/>
    <mergeCell ref="A1:L1"/>
    <mergeCell ref="A36:L36"/>
    <mergeCell ref="A17:L17"/>
    <mergeCell ref="S18:AD18"/>
    <mergeCell ref="A3:L3"/>
    <mergeCell ref="A50:L50"/>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A106"/>
  <sheetViews>
    <sheetView zoomScale="75" zoomScaleNormal="75" workbookViewId="0">
      <pane xSplit="1" ySplit="4" topLeftCell="B38" activePane="bottomRight" state="frozen"/>
      <selection pane="topRight" activeCell="B1" sqref="B1"/>
      <selection pane="bottomLeft" activeCell="A38" sqref="A38"/>
      <selection pane="bottomRight" activeCell="N7" sqref="N7"/>
    </sheetView>
  </sheetViews>
  <sheetFormatPr baseColWidth="10" defaultColWidth="8.83203125" defaultRowHeight="15"/>
  <cols>
    <col width="15" customWidth="1" min="1" max="1"/>
    <col width="7" customWidth="1" min="2" max="3"/>
    <col width="8.5" customWidth="1" min="4" max="12"/>
  </cols>
  <sheetData>
    <row r="1" ht="24" customHeight="1">
      <c r="A1" s="2" t="inlineStr">
        <is>
          <t>EXPLICACIONES FCM — PESOS DE LA MATRIZ DE PRÓXIMOS ESTADOS</t>
        </is>
      </c>
    </row>
    <row r="2" ht="57.75" customHeight="1">
      <c r="A2" s="37" t="inlineStr">
        <is>
          <t>Justificación de cada peso de la hoja «MATRIZ DE PESOS PROXIMOS ESTADO» (bloque Claude), depurado para una matriz de PRÓXIMOS ESTADOS integrada con el simulador: solo aristas necesarias para predecir el estado j del próximo instante, sin ciclos (grafo acíclico, DAG). Escala [−1, 1]; signos: acción→E1 &lt; 0, acción→E5 &gt; 0, E1→E3 &gt; 0, E5→E1 &lt; 0.</t>
        </is>
      </c>
    </row>
    <row r="3">
      <c r="A3" s="81" t="inlineStr">
        <is>
          <t>Modelo: Claude   ·   15 aristas activas   ·   Fuentes de las variables: RoS CoronaSurveys + CTIS/UMD + OxCGRT (ver hoja «Definiciones Conceptos»)</t>
        </is>
      </c>
      <c r="P3" s="38" t="n"/>
      <c r="Q3" s="39" t="n"/>
      <c r="R3" s="39" t="n"/>
      <c r="S3" s="39" t="n"/>
      <c r="T3" s="39" t="n"/>
      <c r="U3" s="39" t="n"/>
      <c r="V3" s="39" t="n"/>
      <c r="W3" s="39" t="n"/>
      <c r="X3" s="39" t="n"/>
      <c r="Y3" s="39" t="n"/>
      <c r="Z3" s="39" t="n"/>
      <c r="AA3" s="39" t="n"/>
    </row>
    <row r="4">
      <c r="A4" s="40" t="n"/>
      <c r="B4" s="41" t="n"/>
      <c r="C4" s="41" t="n"/>
      <c r="D4" s="41" t="n"/>
      <c r="E4" s="41" t="n"/>
      <c r="F4" s="41" t="n"/>
      <c r="G4" s="41" t="n"/>
      <c r="H4" s="41" t="n"/>
      <c r="I4" s="42" t="n"/>
      <c r="J4" s="42" t="n"/>
      <c r="K4" s="42" t="n"/>
      <c r="L4" s="42" t="n"/>
    </row>
    <row r="5">
      <c r="A5" s="43" t="inlineStr">
        <is>
          <t>Relación (i→j)</t>
        </is>
      </c>
      <c r="B5" s="43" t="inlineStr">
        <is>
          <t>Peso</t>
        </is>
      </c>
      <c r="C5" s="43" t="inlineStr">
        <is>
          <t>Signo</t>
        </is>
      </c>
      <c r="D5" s="82" t="inlineStr">
        <is>
          <t>¿Por qué ese peso? (justificación)</t>
        </is>
      </c>
      <c r="E5" s="92" t="n"/>
      <c r="F5" s="92" t="n"/>
      <c r="G5" s="92" t="n"/>
      <c r="H5" s="92" t="n"/>
      <c r="I5" s="92" t="n"/>
      <c r="J5" s="92" t="n"/>
      <c r="K5" s="92" t="n"/>
      <c r="L5" s="93" t="n"/>
    </row>
    <row r="6" ht="18" customHeight="1">
      <c r="A6" s="83" t="inlineStr">
        <is>
          <t>Cadena epidemiológica (nivel = su tendencia + drivers)</t>
        </is>
      </c>
    </row>
    <row r="7" ht="30" customHeight="1">
      <c r="A7" s="44" t="inlineStr">
        <is>
          <t>E1 → E3</t>
        </is>
      </c>
      <c r="B7" s="45" t="n">
        <v>0.7</v>
      </c>
      <c r="C7" s="46" t="inlineStr">
        <is>
          <t>+</t>
        </is>
      </c>
      <c r="D7" s="84" t="inlineStr">
        <is>
          <t>El contagio actual predice la presión hospitalaria del próximo instante (con retardo): motor central del sistema. Casi toda la carga hospitalaria proviene del contagio previo.</t>
        </is>
      </c>
      <c r="E7" s="92" t="n"/>
      <c r="F7" s="92" t="n"/>
      <c r="G7" s="92" t="n"/>
      <c r="H7" s="92" t="n"/>
      <c r="I7" s="92" t="n"/>
      <c r="J7" s="92" t="n"/>
      <c r="K7" s="92" t="n"/>
      <c r="L7" s="93" t="n"/>
    </row>
    <row r="8" ht="30" customHeight="1">
      <c r="A8" s="44" t="inlineStr">
        <is>
          <t>E2 → E1</t>
        </is>
      </c>
      <c r="B8" s="45" t="n">
        <v>0.7</v>
      </c>
      <c r="C8" s="46" t="inlineStr">
        <is>
          <t>+</t>
        </is>
      </c>
      <c r="D8" s="85" t="inlineStr">
        <is>
          <t>La tendencia del contagio predice el nivel del próximo paso (c_{t+1} ≈ c_t + Δc): patrón derivada→nivel, base de la propiedad de Markov.</t>
        </is>
      </c>
      <c r="E8" s="92" t="n"/>
      <c r="F8" s="92" t="n"/>
      <c r="G8" s="92" t="n"/>
      <c r="H8" s="92" t="n"/>
      <c r="I8" s="92" t="n"/>
      <c r="J8" s="92" t="n"/>
      <c r="K8" s="92" t="n"/>
      <c r="L8" s="93" t="n"/>
    </row>
    <row r="9" ht="30" customHeight="1">
      <c r="A9" s="44" t="inlineStr">
        <is>
          <t>E4 → E3</t>
        </is>
      </c>
      <c r="B9" s="45" t="n">
        <v>0.7</v>
      </c>
      <c r="C9" s="45" t="inlineStr">
        <is>
          <t>+</t>
        </is>
      </c>
      <c r="D9" s="84" t="inlineStr">
        <is>
          <t>La tendencia hospitalaria predice el nivel hospitalario del próximo paso (h_{t+1} ≈ h_t + Δh): mismo patrón derivada→nivel.</t>
        </is>
      </c>
      <c r="E9" s="92" t="n"/>
      <c r="F9" s="92" t="n"/>
      <c r="G9" s="92" t="n"/>
      <c r="H9" s="92" t="n"/>
      <c r="I9" s="92" t="n"/>
      <c r="J9" s="92" t="n"/>
      <c r="K9" s="92" t="n"/>
      <c r="L9" s="93" t="n"/>
    </row>
    <row r="10" ht="18" customHeight="1">
      <c r="A10" s="83" t="inlineStr">
        <is>
          <t>Señal de conducta: Preocupación (E7)</t>
        </is>
      </c>
    </row>
    <row r="11" ht="30" customHeight="1">
      <c r="A11" s="44" t="inlineStr">
        <is>
          <t>E3 → E7</t>
        </is>
      </c>
      <c r="B11" s="45" t="n">
        <v>0.6</v>
      </c>
      <c r="C11" s="46" t="inlineStr">
        <is>
          <t>+</t>
        </is>
      </c>
      <c r="D11" s="84" t="inlineStr">
        <is>
          <t>La presión hospitalaria es la señal más visible y alarmante: predice con fuerza la preocupación del próximo paso (más que el número abstracto de casos).</t>
        </is>
      </c>
      <c r="E11" s="92" t="n"/>
      <c r="F11" s="92" t="n"/>
      <c r="G11" s="92" t="n"/>
      <c r="H11" s="92" t="n"/>
      <c r="I11" s="92" t="n"/>
      <c r="J11" s="92" t="n"/>
      <c r="K11" s="92" t="n"/>
      <c r="L11" s="93" t="n"/>
    </row>
    <row r="12" ht="30" customHeight="1">
      <c r="A12" s="44" t="inlineStr">
        <is>
          <t>E1 → E7</t>
        </is>
      </c>
      <c r="B12" s="45" t="n">
        <v>0.5</v>
      </c>
      <c r="C12" s="46" t="inlineStr">
        <is>
          <t>+</t>
        </is>
      </c>
      <c r="D12" s="84" t="inlineStr">
        <is>
          <t>Más contagio ahora → más preocupación en el próximo paso (CTIS C3). Peso moderado, por debajo de la señal hospitalaria.</t>
        </is>
      </c>
      <c r="E12" s="92" t="n"/>
      <c r="F12" s="92" t="n"/>
      <c r="G12" s="92" t="n"/>
      <c r="H12" s="92" t="n"/>
      <c r="I12" s="92" t="n"/>
      <c r="J12" s="92" t="n"/>
      <c r="K12" s="92" t="n"/>
      <c r="L12" s="93" t="n"/>
    </row>
    <row r="13" ht="18" customHeight="1">
      <c r="A13" s="83" t="inlineStr">
        <is>
          <t>Coste socioeconómico y restricción vigente</t>
        </is>
      </c>
    </row>
    <row r="14" ht="30" customHeight="1">
      <c r="A14" s="44" t="inlineStr">
        <is>
          <t>E6 → E5</t>
        </is>
      </c>
      <c r="B14" s="45" t="n">
        <v>0.6</v>
      </c>
      <c r="C14" s="46" t="inlineStr">
        <is>
          <t>+</t>
        </is>
      </c>
      <c r="D14" s="84" t="inlineStr">
        <is>
          <t>La tendencia socioeconómica predice el nivel de restricción del próximo paso (L_{t+1} ≈ L_t + ΔL): patrón derivada→nivel, coherente con E2→E1 y E4→E3.</t>
        </is>
      </c>
      <c r="E14" s="92" t="n"/>
      <c r="F14" s="92" t="n"/>
      <c r="G14" s="92" t="n"/>
      <c r="H14" s="92" t="n"/>
      <c r="I14" s="92" t="n"/>
      <c r="J14" s="92" t="n"/>
      <c r="K14" s="92" t="n"/>
      <c r="L14" s="93" t="n"/>
    </row>
    <row r="15" ht="30" customHeight="1">
      <c r="A15" s="44" t="inlineStr">
        <is>
          <t>E5 → E1</t>
        </is>
      </c>
      <c r="B15" s="47" t="n">
        <v>-0.5</v>
      </c>
      <c r="C15" s="48" t="inlineStr">
        <is>
          <t>−</t>
        </is>
      </c>
      <c r="D15" s="84" t="inlineStr">
        <is>
          <t>La restricción vigente (E5 = coste de a_{t-1}) sigue en pie y frena el contagio del próximo paso: canal de arrastre de las medidas ya aplicadas, con retardo distinto al de la acción actual.</t>
        </is>
      </c>
      <c r="E15" s="92" t="n"/>
      <c r="F15" s="92" t="n"/>
      <c r="G15" s="92" t="n"/>
      <c r="H15" s="92" t="n"/>
      <c r="I15" s="92" t="n"/>
      <c r="J15" s="92" t="n"/>
      <c r="K15" s="92" t="n"/>
      <c r="L15" s="93" t="n"/>
    </row>
    <row r="16" ht="18" customHeight="1">
      <c r="A16" s="83" t="inlineStr">
        <is>
          <t>Palancas de acción → contagio (efecto directo, inmediato)</t>
        </is>
      </c>
    </row>
    <row r="17" ht="30" customHeight="1">
      <c r="A17" s="49" t="inlineStr">
        <is>
          <t>A4 → E1</t>
        </is>
      </c>
      <c r="B17" s="50" t="n">
        <v>-0.6</v>
      </c>
      <c r="C17" s="51" t="inlineStr">
        <is>
          <t>−</t>
        </is>
      </c>
      <c r="D17" s="86" t="inlineStr">
        <is>
          <t>Confinamiento: la palanca más eficaz para cortar la transmisión del próximo paso. Moderado (−0.6) porque también actúa el canal E5→E1 y juntos no deben sobre-reducir el contagio.</t>
        </is>
      </c>
      <c r="E17" s="92" t="n"/>
      <c r="F17" s="92" t="n"/>
      <c r="G17" s="92" t="n"/>
      <c r="H17" s="92" t="n"/>
      <c r="I17" s="92" t="n"/>
      <c r="J17" s="92" t="n"/>
      <c r="K17" s="92" t="n"/>
      <c r="L17" s="93" t="n"/>
    </row>
    <row r="18" ht="30" customHeight="1">
      <c r="A18" s="49" t="inlineStr">
        <is>
          <t>A1 → E1</t>
        </is>
      </c>
      <c r="B18" s="50" t="n">
        <v>-0.4</v>
      </c>
      <c r="C18" s="51" t="inlineStr">
        <is>
          <t>−</t>
        </is>
      </c>
      <c r="D18" s="86" t="inlineStr">
        <is>
          <t>Cierre laboral: reduce el contacto adulto de forma amplia; efecto directo notable sobre el contagio siguiente.</t>
        </is>
      </c>
      <c r="E18" s="92" t="n"/>
      <c r="F18" s="92" t="n"/>
      <c r="G18" s="92" t="n"/>
      <c r="H18" s="92" t="n"/>
      <c r="I18" s="92" t="n"/>
      <c r="J18" s="92" t="n"/>
      <c r="K18" s="92" t="n"/>
      <c r="L18" s="93" t="n"/>
    </row>
    <row r="19" ht="30" customHeight="1">
      <c r="A19" s="49" t="inlineStr">
        <is>
          <t>A2 → E1</t>
        </is>
      </c>
      <c r="B19" s="50" t="n">
        <v>-0.3</v>
      </c>
      <c r="C19" s="51" t="inlineStr">
        <is>
          <t>−</t>
        </is>
      </c>
      <c r="D19" s="86" t="inlineStr">
        <is>
          <t>Cierre de colegios: efecto directo intermedio-bajo sobre el contagio.</t>
        </is>
      </c>
      <c r="E19" s="92" t="n"/>
      <c r="F19" s="92" t="n"/>
      <c r="G19" s="92" t="n"/>
      <c r="H19" s="92" t="n"/>
      <c r="I19" s="92" t="n"/>
      <c r="J19" s="92" t="n"/>
      <c r="K19" s="92" t="n"/>
      <c r="L19" s="93" t="n"/>
    </row>
    <row r="20" ht="30" customHeight="1">
      <c r="A20" s="49" t="inlineStr">
        <is>
          <t>A3 → E1</t>
        </is>
      </c>
      <c r="B20" s="50" t="n">
        <v>-0.2</v>
      </c>
      <c r="C20" s="51" t="inlineStr">
        <is>
          <t>−</t>
        </is>
      </c>
      <c r="D20" s="86" t="inlineStr">
        <is>
          <t>Transporte público: la palanca con menor efecto sobre la transmisión de las cuatro.</t>
        </is>
      </c>
      <c r="E20" s="92" t="n"/>
      <c r="F20" s="92" t="n"/>
      <c r="G20" s="92" t="n"/>
      <c r="H20" s="92" t="n"/>
      <c r="I20" s="92" t="n"/>
      <c r="J20" s="92" t="n"/>
      <c r="K20" s="92" t="n"/>
      <c r="L20" s="93" t="n"/>
    </row>
    <row r="21" ht="18" customHeight="1">
      <c r="A21" s="83" t="inlineStr">
        <is>
          <t>Palancas de acción → restricción vigente (E5)</t>
        </is>
      </c>
    </row>
    <row r="22" ht="30" customHeight="1">
      <c r="A22" s="49" t="inlineStr">
        <is>
          <t>A4 → E5</t>
        </is>
      </c>
      <c r="B22" s="52" t="n">
        <v>0.9</v>
      </c>
      <c r="C22" s="53" t="inlineStr">
        <is>
          <t>+</t>
        </is>
      </c>
      <c r="D22" s="86" t="inlineStr">
        <is>
          <t>Confinamiento: la medida MÁS gravosa (pesa el doble en el coste) → mayor aporte a la restricción vigente del próximo paso.</t>
        </is>
      </c>
      <c r="E22" s="92" t="n"/>
      <c r="F22" s="92" t="n"/>
      <c r="G22" s="92" t="n"/>
      <c r="H22" s="92" t="n"/>
      <c r="I22" s="92" t="n"/>
      <c r="J22" s="92" t="n"/>
      <c r="K22" s="92" t="n"/>
      <c r="L22" s="93" t="n"/>
    </row>
    <row r="23" ht="30" customHeight="1">
      <c r="A23" s="49" t="inlineStr">
        <is>
          <t>A1 → E5</t>
        </is>
      </c>
      <c r="B23" s="52" t="n">
        <v>0.5</v>
      </c>
      <c r="C23" s="53" t="inlineStr">
        <is>
          <t>+</t>
        </is>
      </c>
      <c r="D23" s="86" t="inlineStr">
        <is>
          <t>Cierre laboral: coste económico elevado.</t>
        </is>
      </c>
      <c r="E23" s="92" t="n"/>
      <c r="F23" s="92" t="n"/>
      <c r="G23" s="92" t="n"/>
      <c r="H23" s="92" t="n"/>
      <c r="I23" s="92" t="n"/>
      <c r="J23" s="92" t="n"/>
      <c r="K23" s="92" t="n"/>
      <c r="L23" s="93" t="n"/>
    </row>
    <row r="24" ht="30" customHeight="1">
      <c r="A24" s="49" t="inlineStr">
        <is>
          <t>A2 → E5</t>
        </is>
      </c>
      <c r="B24" s="52" t="n">
        <v>0.4</v>
      </c>
      <c r="C24" s="53" t="inlineStr">
        <is>
          <t>+</t>
        </is>
      </c>
      <c r="D24" s="86" t="inlineStr">
        <is>
          <t>Cierre de colegios: coste socioeconómico intermedio.</t>
        </is>
      </c>
      <c r="E24" s="92" t="n"/>
      <c r="F24" s="92" t="n"/>
      <c r="G24" s="92" t="n"/>
      <c r="H24" s="92" t="n"/>
      <c r="I24" s="92" t="n"/>
      <c r="J24" s="92" t="n"/>
      <c r="K24" s="92" t="n"/>
      <c r="L24" s="93" t="n"/>
    </row>
    <row r="25" ht="30" customHeight="1">
      <c r="A25" s="49" t="inlineStr">
        <is>
          <t>A3 → E5</t>
        </is>
      </c>
      <c r="B25" s="52" t="n">
        <v>0.3</v>
      </c>
      <c r="C25" s="53" t="inlineStr">
        <is>
          <t>+</t>
        </is>
      </c>
      <c r="D25" s="86" t="inlineStr">
        <is>
          <t>Transporte público: el de menor coste asociado.</t>
        </is>
      </c>
      <c r="E25" s="92" t="n"/>
      <c r="F25" s="92" t="n"/>
      <c r="G25" s="92" t="n"/>
      <c r="H25" s="92" t="n"/>
      <c r="I25" s="92" t="n"/>
      <c r="J25" s="92" t="n"/>
      <c r="K25" s="92" t="n"/>
      <c r="L25" s="93" t="n"/>
    </row>
    <row r="26" ht="18" customHeight="1">
      <c r="A26" s="83" t="inlineStr">
        <is>
          <t>Relaciones descartadas para próximos estados (peso = 0)</t>
        </is>
      </c>
    </row>
    <row r="27" ht="45" customHeight="1">
      <c r="A27" s="54" t="inlineStr">
        <is>
          <t>E7 → E1</t>
        </is>
      </c>
      <c r="B27" s="55" t="n">
        <v>0</v>
      </c>
      <c r="C27" s="56" t="inlineStr">
        <is>
          <t>0</t>
        </is>
      </c>
      <c r="D27" s="87" t="inlineStr">
        <is>
          <t>Doble conteo: la nota del TFG indica que la preocupación (E7) ya modula la eficacia de las medidas DENTRO del simulador. Incluirla también en la matriz contaría el efecto dos veces. (En un FCM puro, aislado del simulador, sería ≈ −0.50.)</t>
        </is>
      </c>
      <c r="E27" s="92" t="n"/>
      <c r="F27" s="92" t="n"/>
      <c r="G27" s="92" t="n"/>
      <c r="H27" s="92" t="n"/>
      <c r="I27" s="92" t="n"/>
      <c r="J27" s="92" t="n"/>
      <c r="K27" s="92" t="n"/>
      <c r="L27" s="93" t="n"/>
    </row>
    <row r="28" ht="30" customHeight="1">
      <c r="A28" s="54" t="inlineStr">
        <is>
          <t>E7 → E2</t>
        </is>
      </c>
      <c r="B28" s="56" t="n">
        <v>0</v>
      </c>
      <c r="C28" s="56" t="inlineStr">
        <is>
          <t>0</t>
        </is>
      </c>
      <c r="D28" s="87" t="inlineStr">
        <is>
          <t>Misma razón que E7→E1: el efecto de la preocupación sobre la transmisión ya lo aporta el simulador.</t>
        </is>
      </c>
      <c r="E28" s="92" t="n"/>
      <c r="F28" s="92" t="n"/>
      <c r="G28" s="92" t="n"/>
      <c r="H28" s="92" t="n"/>
      <c r="I28" s="92" t="n"/>
      <c r="J28" s="92" t="n"/>
      <c r="K28" s="92" t="n"/>
      <c r="L28" s="93" t="n"/>
    </row>
    <row r="29" ht="45" customHeight="1">
      <c r="A29" s="54" t="inlineStr">
        <is>
          <t>E1→E4, E2→E3, E2→E4, E2→E7, E4→E7, E5→E2</t>
        </is>
      </c>
      <c r="B29" s="55" t="n">
        <v>0</v>
      </c>
      <c r="C29" s="56" t="inlineStr">
        <is>
          <t>0</t>
        </is>
      </c>
      <c r="D29" s="87" t="inlineStr">
        <is>
          <t>Aristas redundantes: la información ya llega al mismo destino por un camino más directo (p. ej. E1→E3 y E4→E3 ya predicen la presión hospitalaria; E1→E7 y E3→E7 ya predicen la preocupación). Se elimina para quedarse con el conjunto mínimo suficiente.</t>
        </is>
      </c>
      <c r="E29" s="92" t="n"/>
      <c r="F29" s="92" t="n"/>
      <c r="G29" s="92" t="n"/>
      <c r="H29" s="92" t="n"/>
      <c r="I29" s="92" t="n"/>
      <c r="J29" s="92" t="n"/>
      <c r="K29" s="92" t="n"/>
      <c r="L29" s="93" t="n"/>
    </row>
    <row r="30" ht="18" customHeight="1">
      <c r="A30" s="83" t="inlineStr">
        <is>
          <t>Decisiones de diseño</t>
        </is>
      </c>
    </row>
    <row r="31" ht="30" customHeight="1">
      <c r="A31" s="84" t="inlineStr">
        <is>
          <t>•  Diagonal = 0 y columnas A1–A4 vacías: ninguna variable se causa a sí misma y las acciones solo emiten (nada del estado las causa).</t>
        </is>
      </c>
      <c r="B31" s="92" t="n"/>
      <c r="C31" s="92" t="n"/>
      <c r="D31" s="92" t="n"/>
      <c r="E31" s="92" t="n"/>
      <c r="F31" s="92" t="n"/>
      <c r="G31" s="92" t="n"/>
      <c r="H31" s="92" t="n"/>
      <c r="I31" s="92" t="n"/>
      <c r="J31" s="92" t="n"/>
      <c r="K31" s="92" t="n"/>
      <c r="L31" s="93" t="n"/>
    </row>
    <row r="32" ht="30" customHeight="1">
      <c r="A32" s="84" t="inlineStr">
        <is>
          <t>•  Tendencias (E2, E4, E6) solo emiten hacia su nivel: no se intenta predecir su próximo valor dentro de la matriz; su dinámica la aporta el simulador y sirven para restaurar la propiedad de Markov.</t>
        </is>
      </c>
      <c r="B32" s="92" t="n"/>
      <c r="C32" s="92" t="n"/>
      <c r="D32" s="92" t="n"/>
      <c r="E32" s="92" t="n"/>
      <c r="F32" s="92" t="n"/>
      <c r="G32" s="92" t="n"/>
      <c r="H32" s="92" t="n"/>
      <c r="I32" s="92" t="n"/>
      <c r="J32" s="92" t="n"/>
      <c r="K32" s="92" t="n"/>
      <c r="L32" s="93" t="n"/>
    </row>
    <row r="33" ht="30" customHeight="1">
      <c r="A33" s="84" t="inlineStr">
        <is>
          <t>•  Estructura consistente: cada nivel del próximo paso = su propia tendencia + los drivers externos. E1 ← E2 + E5 + acciones; E3 ← E4 + E1; E5 ← E6 + acciones; E7 ← E1 + E3.</t>
        </is>
      </c>
      <c r="B33" s="92" t="n"/>
      <c r="C33" s="92" t="n"/>
      <c r="D33" s="92" t="n"/>
      <c r="E33" s="92" t="n"/>
      <c r="F33" s="92" t="n"/>
      <c r="G33" s="92" t="n"/>
      <c r="H33" s="92" t="n"/>
      <c r="I33" s="92" t="n"/>
      <c r="J33" s="92" t="n"/>
      <c r="K33" s="92" t="n"/>
      <c r="L33" s="93" t="n"/>
    </row>
    <row r="34" ht="30" customHeight="1">
      <c r="A34" s="84" t="inlineStr">
        <is>
          <t>•  Sin ciclos (DAG): al quitar E7→E1 se elimina el último bucle (E1→E7→E1). Cada próximo estado se predice sin realimentaciones → transición de próximo estado limpia y estable.</t>
        </is>
      </c>
      <c r="B34" s="92" t="n"/>
      <c r="C34" s="92" t="n"/>
      <c r="D34" s="92" t="n"/>
      <c r="E34" s="92" t="n"/>
      <c r="F34" s="92" t="n"/>
      <c r="G34" s="92" t="n"/>
      <c r="H34" s="92" t="n"/>
      <c r="I34" s="92" t="n"/>
      <c r="J34" s="92" t="n"/>
      <c r="K34" s="92" t="n"/>
      <c r="L34" s="93" t="n"/>
    </row>
    <row r="35" ht="30" customHeight="1">
      <c r="A35" s="84" t="inlineStr">
        <is>
          <t>•  Doble canal A→E1 y E5→E1: se conservan porque son retardos distintos (acción actual vs. restricción ya en pie); es estructura temporal, no redundancia.</t>
        </is>
      </c>
      <c r="B35" s="92" t="n"/>
      <c r="C35" s="92" t="n"/>
      <c r="D35" s="92" t="n"/>
      <c r="E35" s="92" t="n"/>
      <c r="F35" s="92" t="n"/>
      <c r="G35" s="92" t="n"/>
      <c r="H35" s="92" t="n"/>
      <c r="I35" s="92" t="n"/>
      <c r="J35" s="92" t="n"/>
      <c r="K35" s="92" t="n"/>
      <c r="L35" s="93" t="n"/>
    </row>
    <row r="36" ht="30" customHeight="1">
      <c r="A36" s="57" t="n"/>
    </row>
    <row r="37" ht="45" customHeight="1">
      <c r="A37" s="57" t="n"/>
    </row>
    <row r="38" ht="45" customHeight="1">
      <c r="A38" s="57" t="n"/>
    </row>
    <row r="39" ht="30" customHeight="1">
      <c r="A39" s="57" t="n"/>
    </row>
    <row r="40">
      <c r="A40" s="58" t="n"/>
      <c r="B40" s="59" t="n"/>
      <c r="C40" s="59" t="n"/>
      <c r="D40" s="59" t="n"/>
      <c r="E40" s="59" t="n"/>
      <c r="F40" s="59" t="n"/>
      <c r="G40" s="59" t="n"/>
      <c r="H40" s="59" t="n"/>
      <c r="I40" s="59" t="n"/>
      <c r="J40" s="59" t="n"/>
      <c r="K40" s="59" t="n"/>
      <c r="L40" s="59" t="n"/>
    </row>
    <row r="41" ht="39.75" customHeight="1">
      <c r="A41" s="37" t="n"/>
    </row>
    <row r="42">
      <c r="A42" s="60" t="n"/>
      <c r="B42" s="59" t="n"/>
      <c r="C42" s="59" t="n"/>
      <c r="D42" s="59" t="n"/>
      <c r="E42" s="59" t="n"/>
      <c r="F42" s="59" t="n"/>
      <c r="G42" s="59" t="n"/>
      <c r="H42" s="59" t="n"/>
      <c r="I42" s="59" t="n"/>
      <c r="J42" s="59" t="n"/>
      <c r="K42" s="59" t="n"/>
      <c r="L42" s="59" t="n"/>
    </row>
    <row r="43">
      <c r="A43" s="60" t="n"/>
      <c r="B43" s="59" t="n"/>
      <c r="C43" s="59" t="n"/>
      <c r="D43" s="59" t="n"/>
      <c r="E43" s="59" t="n"/>
      <c r="F43" s="59" t="n"/>
      <c r="G43" s="59" t="n"/>
      <c r="H43" s="59" t="n"/>
      <c r="I43" s="59" t="n"/>
      <c r="J43" s="59" t="n"/>
      <c r="K43" s="59" t="n"/>
      <c r="L43" s="59" t="n"/>
    </row>
    <row r="44" ht="24" customHeight="1">
      <c r="A44" s="2" t="inlineStr">
        <is>
          <t>BLOQUE ChatGPT — EXPLICACIÓN DE LOS PESOS (matriz de próximos estados)</t>
        </is>
      </c>
    </row>
    <row r="45" ht="15" customHeight="1">
      <c r="A45" s="81" t="inlineStr">
        <is>
          <t>Modelo: ChatGPT (revisado)   ·   Criterio: solo aristas «directamente necesarias para predecir el estado j del próximo instante». Mismos nodos, escala [−1, 1] y signos que el bloque Claude.</t>
        </is>
      </c>
    </row>
    <row r="46" ht="15" customHeight="1">
      <c r="A46" s="43" t="inlineStr">
        <is>
          <t>Relación (i→j)</t>
        </is>
      </c>
      <c r="B46" s="43" t="inlineStr">
        <is>
          <t>Peso</t>
        </is>
      </c>
      <c r="C46" s="43" t="inlineStr">
        <is>
          <t>Signo</t>
        </is>
      </c>
      <c r="D46" s="88" t="inlineStr">
        <is>
          <t>¿Por qué ese peso? (justificación de ChatGPT)</t>
        </is>
      </c>
      <c r="E46" s="92" t="n"/>
      <c r="F46" s="92" t="n"/>
      <c r="G46" s="92" t="n"/>
      <c r="H46" s="92" t="n"/>
      <c r="I46" s="92" t="n"/>
      <c r="J46" s="92" t="n"/>
      <c r="K46" s="92" t="n"/>
      <c r="L46" s="93" t="n"/>
    </row>
    <row r="47" ht="18" customHeight="1">
      <c r="A47" s="83" t="inlineStr">
        <is>
          <t>Cadena epidemiológica (transmisión → presión sanitaria)</t>
        </is>
      </c>
    </row>
    <row r="48" ht="45" customHeight="1">
      <c r="A48" s="44" t="inlineStr">
        <is>
          <t>E1 → E3</t>
        </is>
      </c>
      <c r="B48" s="61" t="n">
        <v>0.85</v>
      </c>
      <c r="C48" s="46" t="inlineStr">
        <is>
          <t>+</t>
        </is>
      </c>
      <c r="D48" s="84" t="inlineStr">
        <is>
          <t>El contagio actual explica la presión hospitalaria futura: es la relación estructural más importante. Peso muy alto porque la presión es casi una función retardada del contagio; no +1 por vacunación, edad, variantes y capacidad sanitaria.</t>
        </is>
      </c>
      <c r="E48" s="92" t="n"/>
      <c r="F48" s="92" t="n"/>
      <c r="G48" s="92" t="n"/>
      <c r="H48" s="92" t="n"/>
      <c r="I48" s="92" t="n"/>
      <c r="J48" s="92" t="n"/>
      <c r="K48" s="92" t="n"/>
      <c r="L48" s="93" t="n"/>
    </row>
    <row r="49" ht="45" customHeight="1">
      <c r="A49" s="44" t="inlineStr">
        <is>
          <t>E2 → E1</t>
        </is>
      </c>
      <c r="B49" s="61" t="n">
        <v>0.75</v>
      </c>
      <c r="C49" s="46" t="inlineStr">
        <is>
          <t>+</t>
        </is>
      </c>
      <c r="D49" s="84" t="inlineStr">
        <is>
          <t>La tendencia del contagio explica el contagio del paso siguiente (inercia epidemiológica). Influencia fuerte pero no absoluta (+0.75, no +1) porque el contagio también depende de restricciones y conducta.</t>
        </is>
      </c>
      <c r="E49" s="92" t="n"/>
      <c r="F49" s="92" t="n"/>
      <c r="G49" s="92" t="n"/>
      <c r="H49" s="92" t="n"/>
      <c r="I49" s="92" t="n"/>
      <c r="J49" s="92" t="n"/>
      <c r="K49" s="92" t="n"/>
      <c r="L49" s="93" t="n"/>
    </row>
    <row r="50" ht="45" customHeight="1">
      <c r="A50" s="44" t="inlineStr">
        <is>
          <t>E4 → E3</t>
        </is>
      </c>
      <c r="B50" s="61" t="n">
        <v>0.7</v>
      </c>
      <c r="C50" s="46" t="inlineStr">
        <is>
          <t>+</t>
        </is>
      </c>
      <c r="D50" s="84" t="inlineStr">
        <is>
          <t>La tendencia hospitalaria explica la presión hospitalaria futura (memoria de corto plazo): si la carga crece, seguirá elevada aunque el contagio se estabilice. Menor que E1→E3 porque la causa primaria sigue siendo el contagio.</t>
        </is>
      </c>
      <c r="E50" s="92" t="n"/>
      <c r="F50" s="92" t="n"/>
      <c r="G50" s="92" t="n"/>
      <c r="H50" s="92" t="n"/>
      <c r="I50" s="92" t="n"/>
      <c r="J50" s="92" t="n"/>
      <c r="K50" s="92" t="n"/>
      <c r="L50" s="93" t="n"/>
    </row>
    <row r="51" ht="18" customHeight="1">
      <c r="A51" s="83" t="inlineStr">
        <is>
          <t>Señal de conducta: Preocupación (E7)</t>
        </is>
      </c>
    </row>
    <row r="52" ht="45" customHeight="1">
      <c r="A52" s="44" t="inlineStr">
        <is>
          <t>E3 → E7</t>
        </is>
      </c>
      <c r="B52" s="61" t="n">
        <v>0.6</v>
      </c>
      <c r="C52" s="46" t="inlineStr">
        <is>
          <t>+</t>
        </is>
      </c>
      <c r="D52" s="84" t="inlineStr">
        <is>
          <t>Variable dinámica: la preocupación cambia con la situación sanitaria. La percepción de gravedad sube sobre todo con la ocupación hospitalaria y los síntomas severos (más que con el número abstracto de casos). Moderada-fuerte.</t>
        </is>
      </c>
      <c r="E52" s="92" t="n"/>
      <c r="F52" s="92" t="n"/>
      <c r="G52" s="92" t="n"/>
      <c r="H52" s="92" t="n"/>
      <c r="I52" s="92" t="n"/>
      <c r="J52" s="92" t="n"/>
      <c r="K52" s="92" t="n"/>
      <c r="L52" s="93" t="n"/>
    </row>
    <row r="53" ht="30" customHeight="1">
      <c r="A53" s="44" t="inlineStr">
        <is>
          <t>E1 → E7</t>
        </is>
      </c>
      <c r="B53" s="61" t="n">
        <v>0.45</v>
      </c>
      <c r="C53" s="46" t="inlineStr">
        <is>
          <t>+</t>
        </is>
      </c>
      <c r="D53" s="84" t="inlineStr">
        <is>
          <t>Más contagio hoy → más preocupación mañana, pero con peso moderado: menos que la presión hospitalaria porque muchos casos son leves o poco visibles.</t>
        </is>
      </c>
      <c r="E53" s="92" t="n"/>
      <c r="F53" s="92" t="n"/>
      <c r="G53" s="92" t="n"/>
      <c r="H53" s="92" t="n"/>
      <c r="I53" s="92" t="n"/>
      <c r="J53" s="92" t="n"/>
      <c r="K53" s="92" t="n"/>
      <c r="L53" s="93" t="n"/>
    </row>
    <row r="54" ht="18" customHeight="1">
      <c r="A54" s="83" t="inlineStr">
        <is>
          <t>Coste socioeconómico y tendencia socioeconómica</t>
        </is>
      </c>
    </row>
    <row r="55" ht="30" customHeight="1">
      <c r="A55" s="44" t="inlineStr">
        <is>
          <t>E5 → E6</t>
        </is>
      </c>
      <c r="B55" s="61" t="n">
        <v>0.8</v>
      </c>
      <c r="C55" s="46" t="inlineStr">
        <is>
          <t>+</t>
        </is>
      </c>
      <c r="D55" s="84" t="inlineStr">
        <is>
          <t>La restricción vigente (E5) explica si el coste se endurece o se relaja (E6). Casi directo por construcción, ya que E5 deriva del coste de las acciones previas.</t>
        </is>
      </c>
      <c r="E55" s="92" t="n"/>
      <c r="F55" s="92" t="n"/>
      <c r="G55" s="92" t="n"/>
      <c r="H55" s="92" t="n"/>
      <c r="I55" s="92" t="n"/>
      <c r="J55" s="92" t="n"/>
      <c r="K55" s="92" t="n"/>
      <c r="L55" s="93" t="n"/>
    </row>
    <row r="56" ht="18" customHeight="1">
      <c r="A56" s="83" t="inlineStr">
        <is>
          <t>Palancas de acción → contagio (efecto directo)</t>
        </is>
      </c>
    </row>
    <row r="57" ht="45" customHeight="1">
      <c r="A57" s="49" t="inlineStr">
        <is>
          <t>A4 → E1</t>
        </is>
      </c>
      <c r="B57" s="62" t="n">
        <v>-0.9</v>
      </c>
      <c r="C57" s="51" t="inlineStr">
        <is>
          <t>−</t>
        </is>
      </c>
      <c r="D57" s="86" t="inlineStr">
        <is>
          <t>Confinamiento: reduce a la vez movilidad y contactos laborales, escolares y sociales; la intervención no farmacológica más intensa. Valor muy alto (−0.90) pero no perfecto (persisten contactos intradomiciliarios y esenciales).</t>
        </is>
      </c>
      <c r="E57" s="92" t="n"/>
      <c r="F57" s="92" t="n"/>
      <c r="G57" s="92" t="n"/>
      <c r="H57" s="92" t="n"/>
      <c r="I57" s="92" t="n"/>
      <c r="J57" s="92" t="n"/>
      <c r="K57" s="92" t="n"/>
      <c r="L57" s="93" t="n"/>
    </row>
    <row r="58" ht="30" customHeight="1">
      <c r="A58" s="49" t="inlineStr">
        <is>
          <t>A1 → E1</t>
        </is>
      </c>
      <c r="B58" s="62" t="n">
        <v>-0.55</v>
      </c>
      <c r="C58" s="51" t="inlineStr">
        <is>
          <t>−</t>
        </is>
      </c>
      <c r="D58" s="86" t="inlineStr">
        <is>
          <t>El entorno laboral genera contactos repetidos y prolongados; limitar la presencialidad reduce la transmisión de forma relevante. Importante, aunque menos que un confinamiento general.</t>
        </is>
      </c>
      <c r="E58" s="92" t="n"/>
      <c r="F58" s="92" t="n"/>
      <c r="G58" s="92" t="n"/>
      <c r="H58" s="92" t="n"/>
      <c r="I58" s="92" t="n"/>
      <c r="J58" s="92" t="n"/>
      <c r="K58" s="92" t="n"/>
      <c r="L58" s="93" t="n"/>
    </row>
    <row r="59" ht="45" customHeight="1">
      <c r="A59" s="49" t="inlineStr">
        <is>
          <t>A2 → E1</t>
        </is>
      </c>
      <c r="B59" s="62" t="n">
        <v>-0.35</v>
      </c>
      <c r="C59" s="51" t="inlineStr">
        <is>
          <t>−</t>
        </is>
      </c>
      <c r="D59" s="86" t="inlineStr">
        <is>
          <t>El cierre educativo reduce contactos entre estudiantes y familias, con impacto poblacional más limitado que el laboral o de movilidad. Efecto moderado-bajo por la incertidumbre entre estudios y países.</t>
        </is>
      </c>
      <c r="E59" s="92" t="n"/>
      <c r="F59" s="92" t="n"/>
      <c r="G59" s="92" t="n"/>
      <c r="H59" s="92" t="n"/>
      <c r="I59" s="92" t="n"/>
      <c r="J59" s="92" t="n"/>
      <c r="K59" s="92" t="n"/>
      <c r="L59" s="93" t="n"/>
    </row>
    <row r="60" ht="45" customHeight="1">
      <c r="A60" s="49" t="inlineStr">
        <is>
          <t>A3 → E1</t>
        </is>
      </c>
      <c r="B60" s="62" t="n">
        <v>-0.25</v>
      </c>
      <c r="C60" s="51" t="inlineStr">
        <is>
          <t>−</t>
        </is>
      </c>
      <c r="D60" s="86" t="inlineStr">
        <is>
          <t>Reducir el transporte disminuye parte de la movilidad, pero muchos contagios ocurren en hogar, trabajo y reuniones. Menor efecto sanitario entre las palancas, por actuar de forma más indirecta.</t>
        </is>
      </c>
      <c r="E60" s="92" t="n"/>
      <c r="F60" s="92" t="n"/>
      <c r="G60" s="92" t="n"/>
      <c r="H60" s="92" t="n"/>
      <c r="I60" s="92" t="n"/>
      <c r="J60" s="92" t="n"/>
      <c r="K60" s="92" t="n"/>
      <c r="L60" s="93" t="n"/>
    </row>
    <row r="61" ht="18" customHeight="1">
      <c r="A61" s="83" t="inlineStr">
        <is>
          <t>Palancas de acción → restricción vigente (E5)</t>
        </is>
      </c>
    </row>
    <row r="62" ht="45" customHeight="1">
      <c r="A62" s="49" t="inlineStr">
        <is>
          <t>A4 → E5</t>
        </is>
      </c>
      <c r="B62" s="63" t="n">
        <v>1</v>
      </c>
      <c r="C62" s="53" t="inlineStr">
        <is>
          <t>+</t>
        </is>
      </c>
      <c r="D62" s="86" t="inlineStr">
        <is>
          <t>E5 es el nivel agregado de restricción; el confinamiento estricto es, por definición, la máxima restricción y coste social. Valor máximo (+1.00) como referencia de escala para el resto de medidas.</t>
        </is>
      </c>
      <c r="E62" s="92" t="n"/>
      <c r="F62" s="92" t="n"/>
      <c r="G62" s="92" t="n"/>
      <c r="H62" s="92" t="n"/>
      <c r="I62" s="92" t="n"/>
      <c r="J62" s="92" t="n"/>
      <c r="K62" s="92" t="n"/>
      <c r="L62" s="93" t="n"/>
    </row>
    <row r="63" ht="30" customHeight="1">
      <c r="A63" s="49" t="inlineStr">
        <is>
          <t>A1 → E5</t>
        </is>
      </c>
      <c r="B63" s="63" t="n">
        <v>0.5</v>
      </c>
      <c r="C63" s="53" t="inlineStr">
        <is>
          <t>+</t>
        </is>
      </c>
      <c r="D63" s="86" t="inlineStr">
        <is>
          <t>El cierre laboral tiene un coste económico elevado y eleva claramente el nivel de restricción agregado: principal componente económico tras el confinamiento.</t>
        </is>
      </c>
      <c r="E63" s="92" t="n"/>
      <c r="F63" s="92" t="n"/>
      <c r="G63" s="92" t="n"/>
      <c r="H63" s="92" t="n"/>
      <c r="I63" s="92" t="n"/>
      <c r="J63" s="92" t="n"/>
      <c r="K63" s="92" t="n"/>
      <c r="L63" s="93" t="n"/>
    </row>
    <row r="64" ht="30" customHeight="1">
      <c r="A64" s="49" t="inlineStr">
        <is>
          <t>A2 → E5</t>
        </is>
      </c>
      <c r="B64" s="63" t="n">
        <v>0.4</v>
      </c>
      <c r="C64" s="53" t="inlineStr">
        <is>
          <t>+</t>
        </is>
      </c>
      <c r="D64" s="86" t="inlineStr">
        <is>
          <t>El cierre educativo afecta conciliación, productividad y organización social, con coste directo algo menor que el laboral. Ligeramente por debajo de A1.</t>
        </is>
      </c>
      <c r="E64" s="92" t="n"/>
      <c r="F64" s="92" t="n"/>
      <c r="G64" s="92" t="n"/>
      <c r="H64" s="92" t="n"/>
      <c r="I64" s="92" t="n"/>
      <c r="J64" s="92" t="n"/>
      <c r="K64" s="92" t="n"/>
      <c r="L64" s="93" t="n"/>
    </row>
    <row r="65" ht="30" customHeight="1">
      <c r="A65" s="49" t="inlineStr">
        <is>
          <t>A3 → E5</t>
        </is>
      </c>
      <c r="B65" s="63" t="n">
        <v>0.3</v>
      </c>
      <c r="C65" s="53" t="inlineStr">
        <is>
          <t>+</t>
        </is>
      </c>
      <c r="D65" s="86" t="inlineStr">
        <is>
          <t>La limitación del transporte genera costes de movilidad y acceso al trabajo, pero afecta a una fracción más específica de la actividad. Menor contribución al coste agregado.</t>
        </is>
      </c>
      <c r="E65" s="92" t="n"/>
      <c r="F65" s="92" t="n"/>
      <c r="G65" s="92" t="n"/>
      <c r="H65" s="92" t="n"/>
      <c r="I65" s="92" t="n"/>
      <c r="J65" s="92" t="n"/>
      <c r="K65" s="92" t="n"/>
      <c r="L65" s="93" t="n"/>
    </row>
    <row r="66" ht="18" customHeight="1">
      <c r="A66" s="83" t="inlineStr">
        <is>
          <t>Relaciones descartadas en «próximos estados» (peso = 0)</t>
        </is>
      </c>
    </row>
    <row r="67" ht="45" customHeight="1">
      <c r="A67" s="56" t="inlineStr">
        <is>
          <t>E7 → E1</t>
        </is>
      </c>
      <c r="B67" s="64" t="n">
        <v>0</v>
      </c>
      <c r="C67" s="56" t="inlineStr">
        <is>
          <t>0</t>
        </is>
      </c>
      <c r="D67" s="87" t="inlineStr">
        <is>
          <t>Se pone 0 para evitar doble conteo: la nota del TFG indica que la preocupación (E7) ya modula la eficacia de las medidas DENTRO del simulador. Incluirla también en el FCM contaría el mismo efecto dos veces. (En un FCM puro, aislado del simulador, sería −0.50.)</t>
        </is>
      </c>
      <c r="E67" s="92" t="n"/>
      <c r="F67" s="92" t="n"/>
      <c r="G67" s="92" t="n"/>
      <c r="H67" s="92" t="n"/>
      <c r="I67" s="92" t="n"/>
      <c r="J67" s="92" t="n"/>
      <c r="K67" s="92" t="n"/>
      <c r="L67" s="93" t="n"/>
    </row>
    <row r="68" ht="45" customHeight="1">
      <c r="A68" s="56" t="inlineStr">
        <is>
          <t>E6 → E7</t>
        </is>
      </c>
      <c r="B68" s="64" t="n">
        <v>0</v>
      </c>
      <c r="C68" s="56" t="inlineStr">
        <is>
          <t>0</t>
        </is>
      </c>
      <c r="D68" s="87" t="inlineStr">
        <is>
          <t>Se pone 0: «un cambio económico hoy reduce la preocupación por COVID mañana» no está en la definición de E7, no es necesario para la dinámica markoviana y añade una hipótesis conductual difícil de validar.</t>
        </is>
      </c>
      <c r="E68" s="92" t="n"/>
      <c r="F68" s="92" t="n"/>
      <c r="G68" s="92" t="n"/>
      <c r="H68" s="92" t="n"/>
      <c r="I68" s="92" t="n"/>
      <c r="J68" s="92" t="n"/>
      <c r="K68" s="92" t="n"/>
      <c r="L68" s="93" t="n"/>
    </row>
    <row r="71" ht="24" customHeight="1">
      <c r="A71" s="2" t="inlineStr">
        <is>
          <t>BLOQUE Gemini — EXPLICACIÓN DE LOS PESOS (matriz de próximos estados)</t>
        </is>
      </c>
    </row>
    <row r="72" ht="27.75" customHeight="1">
      <c r="A72" s="89" t="inlineStr">
        <is>
          <t>Modelo: Gemini (versión «calidad de simulación»)   ·   28 aristas — la más densa de las tres: modela ciclos nivel↔tendencia (E1↔E2, E3↔E4, E5↔E6) y mantiene E7→E1. Mismos nodos, escala [−1, 1].</t>
        </is>
      </c>
    </row>
    <row r="73">
      <c r="A73" s="43" t="inlineStr">
        <is>
          <t>Relación (i→j)</t>
        </is>
      </c>
      <c r="B73" s="43" t="inlineStr">
        <is>
          <t>Peso</t>
        </is>
      </c>
      <c r="C73" s="43" t="inlineStr">
        <is>
          <t>Signo</t>
        </is>
      </c>
      <c r="D73" s="88" t="inlineStr">
        <is>
          <t>¿Por qué ese peso? (justificación de Gemini)</t>
        </is>
      </c>
      <c r="E73" s="92" t="n"/>
      <c r="F73" s="92" t="n"/>
      <c r="G73" s="92" t="n"/>
      <c r="H73" s="92" t="n"/>
      <c r="I73" s="92" t="n"/>
      <c r="J73" s="92" t="n"/>
      <c r="K73" s="92" t="n"/>
      <c r="L73" s="93" t="n"/>
    </row>
    <row r="74" ht="18" customHeight="1">
      <c r="A74" s="83" t="inlineStr">
        <is>
          <t>Transmisión y presión hospitalaria (retardos estructurales)</t>
        </is>
      </c>
    </row>
    <row r="75" ht="27.75" customHeight="1">
      <c r="A75" s="44" t="inlineStr">
        <is>
          <t>E1 → E2</t>
        </is>
      </c>
      <c r="B75" s="45" t="n">
        <v>0.6</v>
      </c>
      <c r="C75" s="46" t="inlineStr">
        <is>
          <t>+</t>
        </is>
      </c>
      <c r="D75" s="84" t="inlineStr">
        <is>
          <t>Inercia epidémica: si el contagio es alto, la tendencia a subir se acentúa.</t>
        </is>
      </c>
      <c r="E75" s="92" t="n"/>
      <c r="F75" s="92" t="n"/>
      <c r="G75" s="92" t="n"/>
      <c r="H75" s="92" t="n"/>
      <c r="I75" s="92" t="n"/>
      <c r="J75" s="92" t="n"/>
      <c r="K75" s="92" t="n"/>
      <c r="L75" s="93" t="n"/>
    </row>
    <row r="76" ht="30" customHeight="1">
      <c r="A76" s="44" t="inlineStr">
        <is>
          <t>E2 → E1</t>
        </is>
      </c>
      <c r="B76" s="45" t="n">
        <v>0.4</v>
      </c>
      <c r="C76" s="46" t="inlineStr">
        <is>
          <t>+</t>
        </is>
      </c>
      <c r="D76" s="84" t="inlineStr">
        <is>
          <t>Inercia epidémica: si la tendencia es positiva, empuja el nivel de contagios en la siguiente iteración.</t>
        </is>
      </c>
      <c r="E76" s="92" t="n"/>
      <c r="F76" s="92" t="n"/>
      <c r="G76" s="92" t="n"/>
      <c r="H76" s="92" t="n"/>
      <c r="I76" s="92" t="n"/>
      <c r="J76" s="92" t="n"/>
      <c r="K76" s="92" t="n"/>
      <c r="L76" s="93" t="n"/>
    </row>
    <row r="77" ht="30" customHeight="1">
      <c r="A77" s="44" t="inlineStr">
        <is>
          <t>E1 → E3</t>
        </is>
      </c>
      <c r="B77" s="45" t="n">
        <v>0.7</v>
      </c>
      <c r="C77" s="46" t="inlineStr">
        <is>
          <t>+</t>
        </is>
      </c>
      <c r="D77" s="84" t="inlineStr">
        <is>
          <t>Núcleo del retardo hospitalario: el nivel de contagio actual impacta fuertemente en la ocupación hospitalaria del próximo paso.</t>
        </is>
      </c>
      <c r="E77" s="92" t="n"/>
      <c r="F77" s="92" t="n"/>
      <c r="G77" s="92" t="n"/>
      <c r="H77" s="92" t="n"/>
      <c r="I77" s="92" t="n"/>
      <c r="J77" s="92" t="n"/>
      <c r="K77" s="92" t="n"/>
      <c r="L77" s="93" t="n"/>
    </row>
    <row r="78" ht="30" customHeight="1">
      <c r="A78" s="44" t="inlineStr">
        <is>
          <t>E3 → E4</t>
        </is>
      </c>
      <c r="B78" s="45" t="n">
        <v>0.6</v>
      </c>
      <c r="C78" s="46" t="inlineStr">
        <is>
          <t>+</t>
        </is>
      </c>
      <c r="D78" s="84" t="inlineStr">
        <is>
          <t>Misma lógica de acumulación/derivada para la presión sanitaria: el nivel hospitalario alimenta su tendencia.</t>
        </is>
      </c>
      <c r="E78" s="92" t="n"/>
      <c r="F78" s="92" t="n"/>
      <c r="G78" s="92" t="n"/>
      <c r="H78" s="92" t="n"/>
      <c r="I78" s="92" t="n"/>
      <c r="J78" s="92" t="n"/>
      <c r="K78" s="92" t="n"/>
      <c r="L78" s="93" t="n"/>
    </row>
    <row r="79" ht="27.75" customHeight="1">
      <c r="A79" s="44" t="inlineStr">
        <is>
          <t>E4 → E3</t>
        </is>
      </c>
      <c r="B79" s="45" t="n">
        <v>0.4</v>
      </c>
      <c r="C79" s="46" t="inlineStr">
        <is>
          <t>+</t>
        </is>
      </c>
      <c r="D79" s="84" t="inlineStr">
        <is>
          <t>La tendencia hospitalaria empuja el nivel hospitalario del siguiente paso (derivada→nivel).</t>
        </is>
      </c>
      <c r="E79" s="92" t="n"/>
      <c r="F79" s="92" t="n"/>
      <c r="G79" s="92" t="n"/>
      <c r="H79" s="92" t="n"/>
      <c r="I79" s="92" t="n"/>
      <c r="J79" s="92" t="n"/>
      <c r="K79" s="92" t="n"/>
      <c r="L79" s="93" t="n"/>
    </row>
    <row r="80" ht="18" customHeight="1">
      <c r="A80" s="83" t="inlineStr">
        <is>
          <t>Conducta social (CTIS/UMD)</t>
        </is>
      </c>
    </row>
    <row r="81" ht="30" customHeight="1">
      <c r="A81" s="44" t="inlineStr">
        <is>
          <t>E3 → E7</t>
        </is>
      </c>
      <c r="B81" s="45" t="n">
        <v>0.7</v>
      </c>
      <c r="C81" s="46" t="inlineStr">
        <is>
          <t>+</t>
        </is>
      </c>
      <c r="D81" s="84" t="inlineStr">
        <is>
          <t>La población reacciona a los datos: el colapso de los hospitales (E3) genera mucha más preocupación y alarma social que las variaciones de la tasa de contagio.</t>
        </is>
      </c>
      <c r="E81" s="92" t="n"/>
      <c r="F81" s="92" t="n"/>
      <c r="G81" s="92" t="n"/>
      <c r="H81" s="92" t="n"/>
      <c r="I81" s="92" t="n"/>
      <c r="J81" s="92" t="n"/>
      <c r="K81" s="92" t="n"/>
      <c r="L81" s="93" t="n"/>
    </row>
    <row r="82" ht="30" customHeight="1">
      <c r="A82" s="44" t="inlineStr">
        <is>
          <t>E1 → E7</t>
        </is>
      </c>
      <c r="B82" s="45" t="n">
        <v>0.5</v>
      </c>
      <c r="C82" s="46" t="inlineStr">
        <is>
          <t>+</t>
        </is>
      </c>
      <c r="D82" s="84" t="inlineStr">
        <is>
          <t>Las variaciones en la tasa de contagio también generan preocupación, pero menos que la señal hospitalaria.</t>
        </is>
      </c>
      <c r="E82" s="92" t="n"/>
      <c r="F82" s="92" t="n"/>
      <c r="G82" s="92" t="n"/>
      <c r="H82" s="92" t="n"/>
      <c r="I82" s="92" t="n"/>
      <c r="J82" s="92" t="n"/>
      <c r="K82" s="92" t="n"/>
      <c r="L82" s="93" t="n"/>
    </row>
    <row r="83" ht="30" customHeight="1">
      <c r="A83" s="44" t="inlineStr">
        <is>
          <t>E7 → E1</t>
        </is>
      </c>
      <c r="B83" s="47" t="n">
        <v>-0.5</v>
      </c>
      <c r="C83" s="48" t="inlineStr">
        <is>
          <t>−</t>
        </is>
      </c>
      <c r="D83" s="84" t="inlineStr">
        <is>
          <t>Cumplimiento espontáneo: a mayor preocupación, la gente se cuida por iniciativa propia, reduciendo el contagio independientemente de las leyes dictadas.</t>
        </is>
      </c>
      <c r="E83" s="92" t="n"/>
      <c r="F83" s="92" t="n"/>
      <c r="G83" s="92" t="n"/>
      <c r="H83" s="92" t="n"/>
      <c r="I83" s="92" t="n"/>
      <c r="J83" s="92" t="n"/>
      <c r="K83" s="92" t="n"/>
      <c r="L83" s="93" t="n"/>
    </row>
    <row r="84" ht="27.75" customHeight="1">
      <c r="A84" s="44" t="inlineStr">
        <is>
          <t>E7 → E2</t>
        </is>
      </c>
      <c r="B84" s="47" t="n">
        <v>-0.4</v>
      </c>
      <c r="C84" s="48" t="inlineStr">
        <is>
          <t>−</t>
        </is>
      </c>
      <c r="D84" s="84" t="inlineStr">
        <is>
          <t>El cumplimiento espontáneo también frena la tendencia del contagio.</t>
        </is>
      </c>
      <c r="E84" s="92" t="n"/>
      <c r="F84" s="92" t="n"/>
      <c r="G84" s="92" t="n"/>
      <c r="H84" s="92" t="n"/>
      <c r="I84" s="92" t="n"/>
      <c r="J84" s="92" t="n"/>
      <c r="K84" s="92" t="n"/>
      <c r="L84" s="93" t="n"/>
    </row>
    <row r="85" ht="18" customHeight="1">
      <c r="A85" s="83" t="inlineStr">
        <is>
          <t>Coste socioeconómico e inercia de las restricciones</t>
        </is>
      </c>
    </row>
    <row r="86" ht="30" customHeight="1">
      <c r="A86" s="44" t="inlineStr">
        <is>
          <t>E5 → E1</t>
        </is>
      </c>
      <c r="B86" s="47" t="n">
        <v>-0.2</v>
      </c>
      <c r="C86" s="48" t="inlineStr">
        <is>
          <t>−</t>
        </is>
      </c>
      <c r="D86" s="84" t="inlineStr">
        <is>
          <t>La restricción que ya estaba impuesta sigue arrastrando un efecto mitigador leve sobre el contagio.</t>
        </is>
      </c>
      <c r="E86" s="92" t="n"/>
      <c r="F86" s="92" t="n"/>
      <c r="G86" s="92" t="n"/>
      <c r="H86" s="92" t="n"/>
      <c r="I86" s="92" t="n"/>
      <c r="J86" s="92" t="n"/>
      <c r="K86" s="92" t="n"/>
      <c r="L86" s="93" t="n"/>
    </row>
    <row r="87" ht="30" customHeight="1">
      <c r="A87" s="44" t="inlineStr">
        <is>
          <t>E5 → E6</t>
        </is>
      </c>
      <c r="B87" s="45" t="n">
        <v>0.3</v>
      </c>
      <c r="C87" s="46" t="inlineStr">
        <is>
          <t>+</t>
        </is>
      </c>
      <c r="D87" s="84" t="inlineStr">
        <is>
          <t>Inercia política y económica: mantener restricciones altas genera tensiones en las tendencias económicas de forma acumulativa.</t>
        </is>
      </c>
      <c r="E87" s="92" t="n"/>
      <c r="F87" s="92" t="n"/>
      <c r="G87" s="92" t="n"/>
      <c r="H87" s="92" t="n"/>
      <c r="I87" s="92" t="n"/>
      <c r="J87" s="92" t="n"/>
      <c r="K87" s="92" t="n"/>
      <c r="L87" s="93" t="n"/>
    </row>
    <row r="88" ht="27.75" customHeight="1">
      <c r="A88" s="44" t="inlineStr">
        <is>
          <t>E6 → E5</t>
        </is>
      </c>
      <c r="B88" s="45" t="n">
        <v>0.4</v>
      </c>
      <c r="C88" s="46" t="inlineStr">
        <is>
          <t>+</t>
        </is>
      </c>
      <c r="D88" s="84" t="inlineStr">
        <is>
          <t>La tendencia socioeconómica realimenta el nivel de restricción (inercia acumulativa).</t>
        </is>
      </c>
      <c r="E88" s="92" t="n"/>
      <c r="F88" s="92" t="n"/>
      <c r="G88" s="92" t="n"/>
      <c r="H88" s="92" t="n"/>
      <c r="I88" s="92" t="n"/>
      <c r="J88" s="92" t="n"/>
      <c r="K88" s="92" t="n"/>
      <c r="L88" s="93" t="n"/>
    </row>
    <row r="89" ht="18" customHeight="1">
      <c r="A89" s="83" t="inlineStr">
        <is>
          <t>Acciones → impacto sanitario (E1 contagio, E2 tendencia)</t>
        </is>
      </c>
    </row>
    <row r="90" ht="27.75" customHeight="1">
      <c r="A90" s="49" t="inlineStr">
        <is>
          <t>A4 → E1</t>
        </is>
      </c>
      <c r="B90" s="50" t="n">
        <v>-0.8</v>
      </c>
      <c r="C90" s="51" t="inlineStr">
        <is>
          <t>−</t>
        </is>
      </c>
      <c r="D90" s="86" t="inlineStr">
        <is>
          <t>Confinamiento: efecto drástico e inmediato para «apagar» la curva.</t>
        </is>
      </c>
      <c r="E90" s="92" t="n"/>
      <c r="F90" s="92" t="n"/>
      <c r="G90" s="92" t="n"/>
      <c r="H90" s="92" t="n"/>
      <c r="I90" s="92" t="n"/>
      <c r="J90" s="92" t="n"/>
      <c r="K90" s="92" t="n"/>
      <c r="L90" s="93" t="n"/>
    </row>
    <row r="91" ht="27.75" customHeight="1">
      <c r="A91" s="49" t="inlineStr">
        <is>
          <t>A1 → E1</t>
        </is>
      </c>
      <c r="B91" s="50" t="n">
        <v>-0.4</v>
      </c>
      <c r="C91" s="51" t="inlineStr">
        <is>
          <t>−</t>
        </is>
      </c>
      <c r="D91" s="86" t="inlineStr">
        <is>
          <t>Trabajo: segundo mayor impacto sanitario tras el confinamiento.</t>
        </is>
      </c>
      <c r="E91" s="92" t="n"/>
      <c r="F91" s="92" t="n"/>
      <c r="G91" s="92" t="n"/>
      <c r="H91" s="92" t="n"/>
      <c r="I91" s="92" t="n"/>
      <c r="J91" s="92" t="n"/>
      <c r="K91" s="92" t="n"/>
      <c r="L91" s="93" t="n"/>
    </row>
    <row r="92" ht="27.75" customHeight="1">
      <c r="A92" s="49" t="inlineStr">
        <is>
          <t>A2 → E1</t>
        </is>
      </c>
      <c r="B92" s="50" t="n">
        <v>-0.3</v>
      </c>
      <c r="C92" s="51" t="inlineStr">
        <is>
          <t>−</t>
        </is>
      </c>
      <c r="D92" s="86" t="inlineStr">
        <is>
          <t>Colegios: impacto sanitario intermedio.</t>
        </is>
      </c>
      <c r="E92" s="92" t="n"/>
      <c r="F92" s="92" t="n"/>
      <c r="G92" s="92" t="n"/>
      <c r="H92" s="92" t="n"/>
      <c r="I92" s="92" t="n"/>
      <c r="J92" s="92" t="n"/>
      <c r="K92" s="92" t="n"/>
      <c r="L92" s="93" t="n"/>
    </row>
    <row r="93" ht="27.75" customHeight="1">
      <c r="A93" s="49" t="inlineStr">
        <is>
          <t>A3 → E1</t>
        </is>
      </c>
      <c r="B93" s="50" t="n">
        <v>-0.2</v>
      </c>
      <c r="C93" s="51" t="inlineStr">
        <is>
          <t>−</t>
        </is>
      </c>
      <c r="D93" s="86" t="inlineStr">
        <is>
          <t>Transporte: el menor impacto sanitario de las cuatro palancas.</t>
        </is>
      </c>
      <c r="E93" s="92" t="n"/>
      <c r="F93" s="92" t="n"/>
      <c r="G93" s="92" t="n"/>
      <c r="H93" s="92" t="n"/>
      <c r="I93" s="92" t="n"/>
      <c r="J93" s="92" t="n"/>
      <c r="K93" s="92" t="n"/>
      <c r="L93" s="93" t="n"/>
    </row>
    <row r="94" ht="27.75" customHeight="1">
      <c r="A94" s="49" t="inlineStr">
        <is>
          <t>A4 → E2</t>
        </is>
      </c>
      <c r="B94" s="50" t="n">
        <v>-0.6</v>
      </c>
      <c r="C94" s="51" t="inlineStr">
        <is>
          <t>−</t>
        </is>
      </c>
      <c r="D94" s="86" t="inlineStr">
        <is>
          <t>Confinamiento: también frena con fuerza la tendencia del contagio.</t>
        </is>
      </c>
      <c r="E94" s="92" t="n"/>
      <c r="F94" s="92" t="n"/>
      <c r="G94" s="92" t="n"/>
      <c r="H94" s="92" t="n"/>
      <c r="I94" s="92" t="n"/>
      <c r="J94" s="92" t="n"/>
      <c r="K94" s="92" t="n"/>
      <c r="L94" s="93" t="n"/>
    </row>
    <row r="95" ht="27.75" customHeight="1">
      <c r="A95" s="49" t="inlineStr">
        <is>
          <t>A1 → E2</t>
        </is>
      </c>
      <c r="B95" s="50" t="n">
        <v>-0.3</v>
      </c>
      <c r="C95" s="51" t="inlineStr">
        <is>
          <t>−</t>
        </is>
      </c>
      <c r="D95" s="86" t="inlineStr">
        <is>
          <t>Trabajo: frena la tendencia del contagio.</t>
        </is>
      </c>
      <c r="E95" s="92" t="n"/>
      <c r="F95" s="92" t="n"/>
      <c r="G95" s="92" t="n"/>
      <c r="H95" s="92" t="n"/>
      <c r="I95" s="92" t="n"/>
      <c r="J95" s="92" t="n"/>
      <c r="K95" s="92" t="n"/>
      <c r="L95" s="93" t="n"/>
    </row>
    <row r="96" ht="27.75" customHeight="1">
      <c r="A96" s="49" t="inlineStr">
        <is>
          <t>A2 → E2</t>
        </is>
      </c>
      <c r="B96" s="50" t="n">
        <v>-0.2</v>
      </c>
      <c r="C96" s="51" t="inlineStr">
        <is>
          <t>−</t>
        </is>
      </c>
      <c r="D96" s="86" t="inlineStr">
        <is>
          <t>Colegios: frena algo la tendencia del contagio.</t>
        </is>
      </c>
      <c r="E96" s="92" t="n"/>
      <c r="F96" s="92" t="n"/>
      <c r="G96" s="92" t="n"/>
      <c r="H96" s="92" t="n"/>
      <c r="I96" s="92" t="n"/>
      <c r="J96" s="92" t="n"/>
      <c r="K96" s="92" t="n"/>
      <c r="L96" s="93" t="n"/>
    </row>
    <row r="97" ht="27.75" customHeight="1">
      <c r="A97" s="49" t="inlineStr">
        <is>
          <t>A3 → E2</t>
        </is>
      </c>
      <c r="B97" s="50" t="n">
        <v>-0.1</v>
      </c>
      <c r="C97" s="51" t="inlineStr">
        <is>
          <t>−</t>
        </is>
      </c>
      <c r="D97" s="86" t="inlineStr">
        <is>
          <t>Transporte: efecto menor sobre la tendencia del contagio.</t>
        </is>
      </c>
      <c r="E97" s="92" t="n"/>
      <c r="F97" s="92" t="n"/>
      <c r="G97" s="92" t="n"/>
      <c r="H97" s="92" t="n"/>
      <c r="I97" s="92" t="n"/>
      <c r="J97" s="92" t="n"/>
      <c r="K97" s="92" t="n"/>
      <c r="L97" s="93" t="n"/>
    </row>
    <row r="98" ht="18" customHeight="1">
      <c r="A98" s="83" t="inlineStr">
        <is>
          <t>Acciones → impacto económico (E5 coste, E6 tendencia)</t>
        </is>
      </c>
    </row>
    <row r="99" ht="30" customHeight="1">
      <c r="A99" s="49" t="inlineStr">
        <is>
          <t>A4 → E5</t>
        </is>
      </c>
      <c r="B99" s="52" t="n">
        <v>0.8</v>
      </c>
      <c r="C99" s="53" t="inlineStr">
        <is>
          <t>+</t>
        </is>
      </c>
      <c r="D99" s="86" t="inlineStr">
        <is>
          <t>Confinamiento: destruye o paraliza la actividad de forma crítica, reflejándose directamente en el eje de costes.</t>
        </is>
      </c>
      <c r="E99" s="92" t="n"/>
      <c r="F99" s="92" t="n"/>
      <c r="G99" s="92" t="n"/>
      <c r="H99" s="92" t="n"/>
      <c r="I99" s="92" t="n"/>
      <c r="J99" s="92" t="n"/>
      <c r="K99" s="92" t="n"/>
      <c r="L99" s="93" t="n"/>
    </row>
    <row r="100" ht="27.75" customHeight="1">
      <c r="A100" s="49" t="inlineStr">
        <is>
          <t>A1 → E5</t>
        </is>
      </c>
      <c r="B100" s="52" t="n">
        <v>0.4</v>
      </c>
      <c r="C100" s="53" t="inlineStr">
        <is>
          <t>+</t>
        </is>
      </c>
      <c r="D100" s="86" t="inlineStr">
        <is>
          <t>Trabajo: coste económico elevado.</t>
        </is>
      </c>
      <c r="E100" s="92" t="n"/>
      <c r="F100" s="92" t="n"/>
      <c r="G100" s="92" t="n"/>
      <c r="H100" s="92" t="n"/>
      <c r="I100" s="92" t="n"/>
      <c r="J100" s="92" t="n"/>
      <c r="K100" s="92" t="n"/>
      <c r="L100" s="93" t="n"/>
    </row>
    <row r="101" ht="27.75" customHeight="1">
      <c r="A101" s="49" t="inlineStr">
        <is>
          <t>A2 → E5</t>
        </is>
      </c>
      <c r="B101" s="52" t="n">
        <v>0.3</v>
      </c>
      <c r="C101" s="53" t="inlineStr">
        <is>
          <t>+</t>
        </is>
      </c>
      <c r="D101" s="86" t="inlineStr">
        <is>
          <t>Colegios: coste socioeconómico intermedio.</t>
        </is>
      </c>
      <c r="E101" s="92" t="n"/>
      <c r="F101" s="92" t="n"/>
      <c r="G101" s="92" t="n"/>
      <c r="H101" s="92" t="n"/>
      <c r="I101" s="92" t="n"/>
      <c r="J101" s="92" t="n"/>
      <c r="K101" s="92" t="n"/>
      <c r="L101" s="93" t="n"/>
    </row>
    <row r="102" ht="27.75" customHeight="1">
      <c r="A102" s="49" t="inlineStr">
        <is>
          <t>A3 → E5</t>
        </is>
      </c>
      <c r="B102" s="52" t="n">
        <v>0.2</v>
      </c>
      <c r="C102" s="53" t="inlineStr">
        <is>
          <t>+</t>
        </is>
      </c>
      <c r="D102" s="86" t="inlineStr">
        <is>
          <t>Transporte público: el que menos coste directo indexado genera en el modelo.</t>
        </is>
      </c>
      <c r="E102" s="92" t="n"/>
      <c r="F102" s="92" t="n"/>
      <c r="G102" s="92" t="n"/>
      <c r="H102" s="92" t="n"/>
      <c r="I102" s="92" t="n"/>
      <c r="J102" s="92" t="n"/>
      <c r="K102" s="92" t="n"/>
      <c r="L102" s="93" t="n"/>
    </row>
    <row r="103" ht="27.75" customHeight="1">
      <c r="A103" s="49" t="inlineStr">
        <is>
          <t>A4 → E6</t>
        </is>
      </c>
      <c r="B103" s="52" t="n">
        <v>0.6</v>
      </c>
      <c r="C103" s="53" t="inlineStr">
        <is>
          <t>+</t>
        </is>
      </c>
      <c r="D103" s="86" t="inlineStr">
        <is>
          <t>Confinamiento: empuja con fuerza la tendencia del coste.</t>
        </is>
      </c>
      <c r="E103" s="92" t="n"/>
      <c r="F103" s="92" t="n"/>
      <c r="G103" s="92" t="n"/>
      <c r="H103" s="92" t="n"/>
      <c r="I103" s="92" t="n"/>
      <c r="J103" s="92" t="n"/>
      <c r="K103" s="92" t="n"/>
      <c r="L103" s="93" t="n"/>
    </row>
    <row r="104" ht="27.75" customHeight="1">
      <c r="A104" s="49" t="inlineStr">
        <is>
          <t>A1 → E6</t>
        </is>
      </c>
      <c r="B104" s="52" t="n">
        <v>0.3</v>
      </c>
      <c r="C104" s="53" t="inlineStr">
        <is>
          <t>+</t>
        </is>
      </c>
      <c r="D104" s="86" t="inlineStr">
        <is>
          <t>Trabajo: endurece la tendencia del coste.</t>
        </is>
      </c>
      <c r="E104" s="92" t="n"/>
      <c r="F104" s="92" t="n"/>
      <c r="G104" s="92" t="n"/>
      <c r="H104" s="92" t="n"/>
      <c r="I104" s="92" t="n"/>
      <c r="J104" s="92" t="n"/>
      <c r="K104" s="92" t="n"/>
      <c r="L104" s="93" t="n"/>
    </row>
    <row r="105" ht="27.75" customHeight="1">
      <c r="A105" s="49" t="inlineStr">
        <is>
          <t>A2 → E6</t>
        </is>
      </c>
      <c r="B105" s="52" t="n">
        <v>0.2</v>
      </c>
      <c r="C105" s="53" t="inlineStr">
        <is>
          <t>+</t>
        </is>
      </c>
      <c r="D105" s="86" t="inlineStr">
        <is>
          <t>Colegios: endurece algo la tendencia del coste.</t>
        </is>
      </c>
      <c r="E105" s="92" t="n"/>
      <c r="F105" s="92" t="n"/>
      <c r="G105" s="92" t="n"/>
      <c r="H105" s="92" t="n"/>
      <c r="I105" s="92" t="n"/>
      <c r="J105" s="92" t="n"/>
      <c r="K105" s="92" t="n"/>
      <c r="L105" s="93" t="n"/>
    </row>
    <row r="106" ht="27.75" customHeight="1">
      <c r="A106" s="49" t="inlineStr">
        <is>
          <t>A3 → E6</t>
        </is>
      </c>
      <c r="B106" s="52" t="n">
        <v>0.1</v>
      </c>
      <c r="C106" s="53" t="inlineStr">
        <is>
          <t>+</t>
        </is>
      </c>
      <c r="D106" s="86" t="inlineStr">
        <is>
          <t>Transporte: menor efecto sobre la tendencia del coste.</t>
        </is>
      </c>
      <c r="E106" s="92" t="n"/>
      <c r="F106" s="92" t="n"/>
      <c r="G106" s="92" t="n"/>
      <c r="H106" s="92" t="n"/>
      <c r="I106" s="92" t="n"/>
      <c r="J106" s="92" t="n"/>
      <c r="K106" s="92" t="n"/>
      <c r="L106" s="93" t="n"/>
    </row>
  </sheetData>
  <mergeCells count="95">
    <mergeCell ref="D86:L86"/>
    <mergeCell ref="D95:L95"/>
    <mergeCell ref="A89:L89"/>
    <mergeCell ref="D48:L48"/>
    <mergeCell ref="A21:L21"/>
    <mergeCell ref="A26:L26"/>
    <mergeCell ref="D7:L7"/>
    <mergeCell ref="D78:L78"/>
    <mergeCell ref="A71:L71"/>
    <mergeCell ref="D62:L62"/>
    <mergeCell ref="D24:L24"/>
    <mergeCell ref="D64:L64"/>
    <mergeCell ref="D73:L73"/>
    <mergeCell ref="D88:L88"/>
    <mergeCell ref="A34:L34"/>
    <mergeCell ref="D19:L19"/>
    <mergeCell ref="D90:L90"/>
    <mergeCell ref="D99:L99"/>
    <mergeCell ref="A6:L6"/>
    <mergeCell ref="D101:L101"/>
    <mergeCell ref="D11:L11"/>
    <mergeCell ref="D76:L76"/>
    <mergeCell ref="A80:L80"/>
    <mergeCell ref="D75:L75"/>
    <mergeCell ref="D53:L53"/>
    <mergeCell ref="A3:L3"/>
    <mergeCell ref="D103:L103"/>
    <mergeCell ref="A32:L32"/>
    <mergeCell ref="D9:L9"/>
    <mergeCell ref="D15:L15"/>
    <mergeCell ref="D29:L29"/>
    <mergeCell ref="D23:L23"/>
    <mergeCell ref="A31:L31"/>
    <mergeCell ref="D79:L79"/>
    <mergeCell ref="D63:L63"/>
    <mergeCell ref="D81:L81"/>
    <mergeCell ref="D96:L96"/>
    <mergeCell ref="D65:L65"/>
    <mergeCell ref="D105:L105"/>
    <mergeCell ref="D52:L52"/>
    <mergeCell ref="A16:L16"/>
    <mergeCell ref="D49:L49"/>
    <mergeCell ref="D27:L27"/>
    <mergeCell ref="A66:L66"/>
    <mergeCell ref="D17:L17"/>
    <mergeCell ref="D91:L91"/>
    <mergeCell ref="A2:L2"/>
    <mergeCell ref="D106:L106"/>
    <mergeCell ref="A47:L47"/>
    <mergeCell ref="D93:L93"/>
    <mergeCell ref="D28:L28"/>
    <mergeCell ref="D102:L102"/>
    <mergeCell ref="D12:L12"/>
    <mergeCell ref="D83:L83"/>
    <mergeCell ref="D25:L25"/>
    <mergeCell ref="D92:L92"/>
    <mergeCell ref="D55:L55"/>
    <mergeCell ref="A72:L72"/>
    <mergeCell ref="D67:L67"/>
    <mergeCell ref="D5:L5"/>
    <mergeCell ref="D14:L14"/>
    <mergeCell ref="A13:L13"/>
    <mergeCell ref="D94:L94"/>
    <mergeCell ref="A44:L44"/>
    <mergeCell ref="A98:L98"/>
    <mergeCell ref="A51:L51"/>
    <mergeCell ref="D46:L46"/>
    <mergeCell ref="A61:L61"/>
    <mergeCell ref="D104:L104"/>
    <mergeCell ref="A54:L54"/>
    <mergeCell ref="D57:L57"/>
    <mergeCell ref="D97:L97"/>
    <mergeCell ref="A74:L74"/>
    <mergeCell ref="A56:L56"/>
    <mergeCell ref="D87:L87"/>
    <mergeCell ref="A33:L33"/>
    <mergeCell ref="A85:L85"/>
    <mergeCell ref="D58:L58"/>
    <mergeCell ref="D18:L18"/>
    <mergeCell ref="D8:L8"/>
    <mergeCell ref="A35:L35"/>
    <mergeCell ref="D68:L68"/>
    <mergeCell ref="D82:L82"/>
    <mergeCell ref="A10:L10"/>
    <mergeCell ref="D50:L50"/>
    <mergeCell ref="D59:L59"/>
    <mergeCell ref="D20:L20"/>
    <mergeCell ref="D60:L60"/>
    <mergeCell ref="D100:L100"/>
    <mergeCell ref="A30:L30"/>
    <mergeCell ref="D84:L84"/>
    <mergeCell ref="A45:L45"/>
    <mergeCell ref="D22:L22"/>
    <mergeCell ref="A1:L1"/>
    <mergeCell ref="D77:L77"/>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D52"/>
  <sheetViews>
    <sheetView tabSelected="1" zoomScale="85" zoomScaleNormal="100" workbookViewId="0">
      <pane xSplit="1" ySplit="4" topLeftCell="B5" activePane="bottomRight" state="frozen"/>
      <selection pane="topRight" activeCell="B1" sqref="B1"/>
      <selection pane="bottomLeft" activeCell="A5" sqref="A5"/>
      <selection pane="bottomRight" activeCell="Z30" sqref="Z30"/>
    </sheetView>
  </sheetViews>
  <sheetFormatPr baseColWidth="10" defaultColWidth="8.83203125" defaultRowHeight="15"/>
  <cols>
    <col width="17" customWidth="1" min="1" max="1"/>
    <col width="6.5" customWidth="1" min="2" max="12"/>
  </cols>
  <sheetData>
    <row r="1" ht="25.5" customHeight="1">
      <c r="A1" s="14" t="inlineStr">
        <is>
          <t>MATRIZ DE PESOS DE PREDECIR CONTAGIOS</t>
        </is>
      </c>
    </row>
    <row r="2" ht="27.75" customHeight="1">
      <c r="A2" s="13" t="inlineStr">
        <is>
          <t>Celda (fila i → columna j) = peso causal de i sobre j, en [−1, 1]. Vacío = sin relación. Diagonal = 0. Las acciones (A1-A4) solo emiten: sus columnas (en gris) no se rellenan.</t>
        </is>
      </c>
    </row>
    <row r="3">
      <c r="A3" s="12" t="inlineStr">
        <is>
          <t>Claude</t>
        </is>
      </c>
      <c r="B3" s="39" t="n"/>
      <c r="C3" s="39" t="n"/>
      <c r="D3" s="39" t="n"/>
      <c r="E3" s="39" t="n"/>
      <c r="F3" s="39" t="n"/>
      <c r="G3" s="39" t="n"/>
      <c r="H3" s="39" t="n"/>
      <c r="I3" s="39" t="n"/>
      <c r="J3" s="39" t="n"/>
      <c r="K3" s="39" t="n"/>
      <c r="L3" s="39" t="n"/>
    </row>
    <row r="4">
      <c r="A4" s="25" t="inlineStr">
        <is>
          <t>Desde \ Hacia</t>
        </is>
      </c>
      <c r="B4" s="26" t="inlineStr">
        <is>
          <t>E1</t>
        </is>
      </c>
      <c r="C4" s="26" t="inlineStr">
        <is>
          <t>E2</t>
        </is>
      </c>
      <c r="D4" s="26" t="inlineStr">
        <is>
          <t>E3</t>
        </is>
      </c>
      <c r="E4" s="26" t="inlineStr">
        <is>
          <t>E4</t>
        </is>
      </c>
      <c r="F4" s="26" t="inlineStr">
        <is>
          <t>E5</t>
        </is>
      </c>
      <c r="G4" s="26" t="inlineStr">
        <is>
          <t>E6</t>
        </is>
      </c>
      <c r="H4" s="26" t="inlineStr">
        <is>
          <t>E7</t>
        </is>
      </c>
      <c r="I4" s="27" t="inlineStr">
        <is>
          <t>A1</t>
        </is>
      </c>
      <c r="J4" s="27" t="inlineStr">
        <is>
          <t>A2</t>
        </is>
      </c>
      <c r="K4" s="27" t="inlineStr">
        <is>
          <t>A3</t>
        </is>
      </c>
      <c r="L4" s="27" t="inlineStr">
        <is>
          <t>A4</t>
        </is>
      </c>
    </row>
    <row r="5">
      <c r="A5" s="28" t="inlineStr">
        <is>
          <t>E1  Contagio</t>
        </is>
      </c>
      <c r="B5" s="29" t="n">
        <v>0</v>
      </c>
      <c r="C5" s="30" t="n"/>
      <c r="D5" s="31" t="n">
        <v>0.7</v>
      </c>
      <c r="E5" s="30" t="n"/>
      <c r="F5" s="30" t="n"/>
      <c r="G5" s="30" t="n"/>
      <c r="H5" s="31" t="n">
        <v>0.5</v>
      </c>
      <c r="I5" s="32" t="n"/>
      <c r="J5" s="32" t="n"/>
      <c r="K5" s="32" t="n"/>
      <c r="L5" s="32" t="n"/>
    </row>
    <row r="6">
      <c r="A6" s="28" t="inlineStr">
        <is>
          <t>E2  Tend. contagio</t>
        </is>
      </c>
      <c r="B6" s="31" t="n">
        <v>0.7</v>
      </c>
      <c r="C6" s="29" t="n">
        <v>0</v>
      </c>
      <c r="D6" s="30" t="n"/>
      <c r="E6" s="30" t="n"/>
      <c r="F6" s="30" t="n"/>
      <c r="G6" s="30" t="n"/>
      <c r="H6" s="30" t="n"/>
      <c r="I6" s="32" t="n"/>
      <c r="J6" s="32" t="n"/>
      <c r="K6" s="32" t="n"/>
      <c r="L6" s="32" t="n"/>
    </row>
    <row r="7">
      <c r="A7" s="28" t="inlineStr">
        <is>
          <t>E3  Presión hosp.</t>
        </is>
      </c>
      <c r="B7" s="30" t="n"/>
      <c r="C7" s="30" t="n"/>
      <c r="D7" s="29" t="n">
        <v>0</v>
      </c>
      <c r="E7" s="30" t="n"/>
      <c r="F7" s="30" t="n"/>
      <c r="G7" s="30" t="n"/>
      <c r="H7" s="31" t="n">
        <v>0.6</v>
      </c>
      <c r="I7" s="32" t="n"/>
      <c r="J7" s="32" t="n"/>
      <c r="K7" s="32" t="n"/>
      <c r="L7" s="32" t="n"/>
    </row>
    <row r="8">
      <c r="A8" s="28" t="inlineStr">
        <is>
          <t>E4  Tend. hosp.</t>
        </is>
      </c>
      <c r="B8" s="30" t="n"/>
      <c r="C8" s="30" t="n"/>
      <c r="D8" s="31" t="n">
        <v>0.7</v>
      </c>
      <c r="E8" s="29" t="n">
        <v>0</v>
      </c>
      <c r="F8" s="30" t="n"/>
      <c r="G8" s="30" t="n"/>
      <c r="H8" s="30" t="n"/>
      <c r="I8" s="32" t="n"/>
      <c r="J8" s="32" t="n"/>
      <c r="K8" s="32" t="n"/>
      <c r="L8" s="32" t="n"/>
    </row>
    <row r="9">
      <c r="A9" s="28" t="inlineStr">
        <is>
          <t>E5  Restr. vigente</t>
        </is>
      </c>
      <c r="B9" s="31" t="n">
        <v>-0.5</v>
      </c>
      <c r="C9" s="30" t="n"/>
      <c r="D9" s="30" t="n"/>
      <c r="E9" s="30" t="n"/>
      <c r="F9" s="29" t="n">
        <v>0</v>
      </c>
      <c r="G9" s="30" t="n"/>
      <c r="H9" s="30" t="n"/>
      <c r="I9" s="32" t="n"/>
      <c r="J9" s="32" t="n"/>
      <c r="K9" s="32" t="n"/>
      <c r="L9" s="32" t="n"/>
    </row>
    <row r="10">
      <c r="A10" s="28" t="inlineStr">
        <is>
          <t>E6  Tend. socioec.</t>
        </is>
      </c>
      <c r="B10" s="30" t="n"/>
      <c r="C10" s="30" t="n"/>
      <c r="D10" s="30" t="n"/>
      <c r="E10" s="30" t="n"/>
      <c r="F10" s="31" t="n">
        <v>0.6</v>
      </c>
      <c r="G10" s="29" t="n">
        <v>0</v>
      </c>
      <c r="H10" s="30" t="n"/>
      <c r="I10" s="32" t="n"/>
      <c r="J10" s="32" t="n"/>
      <c r="K10" s="32" t="n"/>
      <c r="L10" s="32" t="n"/>
    </row>
    <row r="11">
      <c r="A11" s="28" t="inlineStr">
        <is>
          <t>E7  Preocupación</t>
        </is>
      </c>
      <c r="B11" s="31" t="n">
        <v>-0.5</v>
      </c>
      <c r="C11" s="31" t="n">
        <v>-0.3</v>
      </c>
      <c r="D11" s="30" t="n"/>
      <c r="E11" s="30" t="n"/>
      <c r="F11" s="30" t="n"/>
      <c r="G11" s="30" t="n"/>
      <c r="H11" s="29" t="n">
        <v>0</v>
      </c>
      <c r="I11" s="32" t="n"/>
      <c r="J11" s="32" t="n"/>
      <c r="K11" s="32" t="n"/>
      <c r="L11" s="32" t="n"/>
    </row>
    <row r="12">
      <c r="A12" s="33" t="inlineStr">
        <is>
          <t>A1  Trabajo</t>
        </is>
      </c>
      <c r="B12" s="31" t="n">
        <v>-0.4</v>
      </c>
      <c r="C12" s="30" t="n"/>
      <c r="D12" s="30" t="n"/>
      <c r="E12" s="30" t="n"/>
      <c r="F12" s="31" t="n">
        <v>0.5</v>
      </c>
      <c r="G12" s="30" t="n"/>
      <c r="H12" s="30" t="n"/>
      <c r="I12" s="29" t="n">
        <v>0</v>
      </c>
      <c r="J12" s="32" t="n"/>
      <c r="K12" s="32" t="n"/>
      <c r="L12" s="32" t="n"/>
    </row>
    <row r="13">
      <c r="A13" s="33" t="inlineStr">
        <is>
          <t>A2  Colegios</t>
        </is>
      </c>
      <c r="B13" s="31" t="n">
        <v>-0.3</v>
      </c>
      <c r="C13" s="30" t="n"/>
      <c r="D13" s="30" t="n"/>
      <c r="E13" s="30" t="n"/>
      <c r="F13" s="31" t="n">
        <v>0.4</v>
      </c>
      <c r="G13" s="30" t="n"/>
      <c r="H13" s="30" t="n"/>
      <c r="I13" s="32" t="n"/>
      <c r="J13" s="29" t="n">
        <v>0</v>
      </c>
      <c r="K13" s="32" t="n"/>
      <c r="L13" s="32" t="n"/>
    </row>
    <row r="14">
      <c r="A14" s="33" t="inlineStr">
        <is>
          <t>A3  Transporte</t>
        </is>
      </c>
      <c r="B14" s="31" t="n">
        <v>-0.2</v>
      </c>
      <c r="C14" s="30" t="n"/>
      <c r="D14" s="30" t="n"/>
      <c r="E14" s="30" t="n"/>
      <c r="F14" s="31" t="n">
        <v>0.3</v>
      </c>
      <c r="G14" s="30" t="n"/>
      <c r="H14" s="30" t="n"/>
      <c r="I14" s="32" t="n"/>
      <c r="J14" s="32" t="n"/>
      <c r="K14" s="29" t="n">
        <v>0</v>
      </c>
      <c r="L14" s="32" t="n"/>
    </row>
    <row r="15">
      <c r="A15" s="33" t="inlineStr">
        <is>
          <t>A4  Confinamiento</t>
        </is>
      </c>
      <c r="B15" s="31" t="n">
        <v>-0.6</v>
      </c>
      <c r="C15" s="30" t="n"/>
      <c r="D15" s="30" t="n"/>
      <c r="E15" s="30" t="n"/>
      <c r="F15" s="31" t="n">
        <v>0.9</v>
      </c>
      <c r="G15" s="30" t="n"/>
      <c r="H15" s="30" t="n"/>
      <c r="I15" s="32" t="n"/>
      <c r="J15" s="32" t="n"/>
      <c r="K15" s="32" t="n"/>
      <c r="L15" s="29" t="n">
        <v>0</v>
      </c>
    </row>
    <row r="17" ht="45.75" customHeight="1">
      <c r="A17" s="11" t="inlineStr">
        <is>
          <t>Signos esperados:  acción→E1 &lt; 0 (las medidas reducen el contagio);  acción→E5 &gt; 0 (suben el coste vigente);  E1→E3 &gt; 0 (contagio → presión hospitalaria, con retardo);  E5→E1 &lt; 0;  E7 (preocupación)→E1 &lt; 0. El experto pone el peso en cada celda blanca.</t>
        </is>
      </c>
    </row>
    <row r="18">
      <c r="S18" s="10" t="inlineStr">
        <is>
          <t>PROMEDIO DE LOS 3</t>
        </is>
      </c>
      <c r="T18" s="39" t="n"/>
      <c r="U18" s="39" t="n"/>
      <c r="V18" s="39" t="n"/>
      <c r="W18" s="39" t="n"/>
      <c r="X18" s="39" t="n"/>
      <c r="Y18" s="39" t="n"/>
      <c r="Z18" s="39" t="n"/>
      <c r="AA18" s="39" t="n"/>
      <c r="AB18" s="39" t="n"/>
      <c r="AC18" s="39" t="n"/>
      <c r="AD18" s="39" t="n"/>
    </row>
    <row r="19">
      <c r="S19" s="25" t="inlineStr">
        <is>
          <t>Desde \ Hacia</t>
        </is>
      </c>
      <c r="T19" s="26" t="inlineStr">
        <is>
          <t>E1</t>
        </is>
      </c>
      <c r="U19" s="26" t="inlineStr">
        <is>
          <t>E2</t>
        </is>
      </c>
      <c r="V19" s="26" t="inlineStr">
        <is>
          <t>E3</t>
        </is>
      </c>
      <c r="W19" s="26" t="inlineStr">
        <is>
          <t>E4</t>
        </is>
      </c>
      <c r="X19" s="26" t="inlineStr">
        <is>
          <t>E5</t>
        </is>
      </c>
      <c r="Y19" s="26" t="inlineStr">
        <is>
          <t>E6</t>
        </is>
      </c>
      <c r="Z19" s="26" t="inlineStr">
        <is>
          <t>E7</t>
        </is>
      </c>
      <c r="AA19" s="27" t="inlineStr">
        <is>
          <t>A1</t>
        </is>
      </c>
      <c r="AB19" s="27" t="inlineStr">
        <is>
          <t>A2</t>
        </is>
      </c>
      <c r="AC19" s="27" t="inlineStr">
        <is>
          <t>A3</t>
        </is>
      </c>
      <c r="AD19" s="27" t="inlineStr">
        <is>
          <t>A4</t>
        </is>
      </c>
    </row>
    <row r="20">
      <c r="A20" s="12" t="inlineStr">
        <is>
          <t>Chat Gpt</t>
        </is>
      </c>
      <c r="B20" s="39" t="n"/>
      <c r="C20" s="39" t="n"/>
      <c r="D20" s="39" t="n"/>
      <c r="E20" s="39" t="n"/>
      <c r="F20" s="39" t="n"/>
      <c r="G20" s="39" t="n"/>
      <c r="H20" s="39" t="n"/>
      <c r="I20" s="39" t="n"/>
      <c r="J20" s="39" t="n"/>
      <c r="K20" s="39" t="n"/>
      <c r="L20" s="39" t="n"/>
      <c r="S20" s="28" t="inlineStr">
        <is>
          <t>E1  Contagio</t>
        </is>
      </c>
      <c r="T20" s="34">
        <f>(B5+B22+B40)/3</f>
        <v/>
      </c>
      <c r="U20" s="35">
        <f>(C5+C22+C40)/3</f>
        <v/>
      </c>
      <c r="V20" s="35">
        <f>(D5+D22+D40)/3</f>
        <v/>
      </c>
      <c r="W20" s="35">
        <f>(E5+E22+E40)/3</f>
        <v/>
      </c>
      <c r="X20" s="35">
        <f>(F5+F22+F40)/3</f>
        <v/>
      </c>
      <c r="Y20" s="35">
        <f>(G5+G22+G40)/3</f>
        <v/>
      </c>
      <c r="Z20" s="35">
        <f>(H5+H22+H40)/3</f>
        <v/>
      </c>
      <c r="AA20" s="32" t="n"/>
      <c r="AB20" s="32" t="n"/>
      <c r="AC20" s="32" t="n"/>
      <c r="AD20" s="32" t="n"/>
    </row>
    <row r="21">
      <c r="A21" s="25" t="inlineStr">
        <is>
          <t>Desde \ Hacia</t>
        </is>
      </c>
      <c r="B21" s="26" t="inlineStr">
        <is>
          <t>E1</t>
        </is>
      </c>
      <c r="C21" s="26" t="inlineStr">
        <is>
          <t>E2</t>
        </is>
      </c>
      <c r="D21" s="26" t="inlineStr">
        <is>
          <t>E3</t>
        </is>
      </c>
      <c r="E21" s="26" t="inlineStr">
        <is>
          <t>E4</t>
        </is>
      </c>
      <c r="F21" s="26" t="inlineStr">
        <is>
          <t>E5</t>
        </is>
      </c>
      <c r="G21" s="26" t="inlineStr">
        <is>
          <t>E6</t>
        </is>
      </c>
      <c r="H21" s="26" t="inlineStr">
        <is>
          <t>E7</t>
        </is>
      </c>
      <c r="I21" s="27" t="inlineStr">
        <is>
          <t>A1</t>
        </is>
      </c>
      <c r="J21" s="27" t="inlineStr">
        <is>
          <t>A2</t>
        </is>
      </c>
      <c r="K21" s="27" t="inlineStr">
        <is>
          <t>A3</t>
        </is>
      </c>
      <c r="L21" s="27" t="inlineStr">
        <is>
          <t>A4</t>
        </is>
      </c>
      <c r="S21" s="28" t="inlineStr">
        <is>
          <t>E2  Tend. contagio</t>
        </is>
      </c>
      <c r="T21" s="35">
        <f>(B6+B23+B41)/3</f>
        <v/>
      </c>
      <c r="U21" s="34">
        <f>(C6+C23+C41)/3</f>
        <v/>
      </c>
      <c r="V21" s="35">
        <f>(D6+D23+D41)/3</f>
        <v/>
      </c>
      <c r="W21" s="35">
        <f>(E6+E23+E41)/3</f>
        <v/>
      </c>
      <c r="X21" s="35">
        <f>(F6+F23+F41)/3</f>
        <v/>
      </c>
      <c r="Y21" s="35">
        <f>(G6+G23+G41)/3</f>
        <v/>
      </c>
      <c r="Z21" s="35">
        <f>(H6+H23+H41)/3</f>
        <v/>
      </c>
      <c r="AA21" s="32" t="n"/>
      <c r="AB21" s="32" t="n"/>
      <c r="AC21" s="32" t="n"/>
      <c r="AD21" s="32" t="n"/>
    </row>
    <row r="22">
      <c r="A22" s="28" t="inlineStr">
        <is>
          <t>E1  Contagio</t>
        </is>
      </c>
      <c r="B22" s="65" t="n">
        <v>0.88</v>
      </c>
      <c r="C22" s="30" t="n"/>
      <c r="D22" s="30" t="n"/>
      <c r="E22" s="30" t="n"/>
      <c r="F22" s="30" t="n"/>
      <c r="G22" s="30" t="n"/>
      <c r="H22" s="30" t="n"/>
      <c r="I22" s="32" t="n"/>
      <c r="J22" s="32" t="n"/>
      <c r="K22" s="32" t="n"/>
      <c r="L22" s="32" t="n"/>
      <c r="S22" s="28" t="inlineStr">
        <is>
          <t>E3  Presión hosp.</t>
        </is>
      </c>
      <c r="T22" s="35">
        <f>(B7+B24+B42)/3</f>
        <v/>
      </c>
      <c r="U22" s="35">
        <f>(C7+C24+C42)/3</f>
        <v/>
      </c>
      <c r="V22" s="34">
        <f>(D7+D24+D42)/3</f>
        <v/>
      </c>
      <c r="W22" s="35">
        <f>(E7+E24+E42)/3</f>
        <v/>
      </c>
      <c r="X22" s="35">
        <f>(F7+F24+F42)/3</f>
        <v/>
      </c>
      <c r="Y22" s="35">
        <f>(G7+G24+G42)/3</f>
        <v/>
      </c>
      <c r="Z22" s="35">
        <f>(H7+H24+H42)/3</f>
        <v/>
      </c>
      <c r="AA22" s="32" t="n"/>
      <c r="AB22" s="32" t="n"/>
      <c r="AC22" s="32" t="n"/>
      <c r="AD22" s="32" t="n"/>
    </row>
    <row r="23">
      <c r="A23" s="28" t="inlineStr">
        <is>
          <t>E2  Tend. contagio</t>
        </is>
      </c>
      <c r="B23" s="36" t="n">
        <v>0.82</v>
      </c>
      <c r="C23" s="29" t="n">
        <v>0</v>
      </c>
      <c r="D23" s="30" t="n"/>
      <c r="E23" s="30" t="n"/>
      <c r="F23" s="30" t="n"/>
      <c r="G23" s="30" t="n"/>
      <c r="H23" s="30" t="n"/>
      <c r="I23" s="32" t="n"/>
      <c r="J23" s="32" t="n"/>
      <c r="K23" s="32" t="n"/>
      <c r="L23" s="32" t="n"/>
      <c r="S23" s="28" t="inlineStr">
        <is>
          <t>E4  Tend. hosp.</t>
        </is>
      </c>
      <c r="T23" s="35">
        <f>(B8+B25+B43)/3</f>
        <v/>
      </c>
      <c r="U23" s="35">
        <f>(C8+C25+C43)/3</f>
        <v/>
      </c>
      <c r="V23" s="35">
        <f>(D8+D25+D43)/3</f>
        <v/>
      </c>
      <c r="W23" s="34">
        <f>(E8+E25+E43)/3</f>
        <v/>
      </c>
      <c r="X23" s="35">
        <f>(F8+F25+F43)/3</f>
        <v/>
      </c>
      <c r="Y23" s="35">
        <f>(G8+G25+G43)/3</f>
        <v/>
      </c>
      <c r="Z23" s="35">
        <f>(H8+H25+H43)/3</f>
        <v/>
      </c>
      <c r="AA23" s="32" t="n"/>
      <c r="AB23" s="32" t="n"/>
      <c r="AC23" s="32" t="n"/>
      <c r="AD23" s="32" t="n"/>
    </row>
    <row r="24">
      <c r="A24" s="28" t="inlineStr">
        <is>
          <t>E3  Presión hosp.</t>
        </is>
      </c>
      <c r="B24" s="36" t="n">
        <v>0.22</v>
      </c>
      <c r="C24" s="30" t="n"/>
      <c r="D24" s="29" t="n">
        <v>0</v>
      </c>
      <c r="E24" s="30" t="n"/>
      <c r="F24" s="30" t="n"/>
      <c r="G24" s="30" t="n"/>
      <c r="H24" s="30" t="n"/>
      <c r="I24" s="32" t="n"/>
      <c r="J24" s="32" t="n"/>
      <c r="K24" s="32" t="n"/>
      <c r="L24" s="32" t="n"/>
      <c r="S24" s="28" t="inlineStr">
        <is>
          <t>E5  Restr. vigente</t>
        </is>
      </c>
      <c r="T24" s="35">
        <f>(B9+B26+B44)/3</f>
        <v/>
      </c>
      <c r="U24" s="35">
        <f>(C9+C26+C44)/3</f>
        <v/>
      </c>
      <c r="V24" s="35">
        <f>(D9+D26+D44)/3</f>
        <v/>
      </c>
      <c r="W24" s="35">
        <f>(E9+E26+E44)/3</f>
        <v/>
      </c>
      <c r="X24" s="34">
        <f>(F9+F26+F44)/3</f>
        <v/>
      </c>
      <c r="Y24" s="35">
        <f>(G9+G26+G44)/3</f>
        <v/>
      </c>
      <c r="Z24" s="35">
        <f>(H9+H26+H44)/3</f>
        <v/>
      </c>
      <c r="AA24" s="32" t="n"/>
      <c r="AB24" s="32" t="n"/>
      <c r="AC24" s="32" t="n"/>
      <c r="AD24" s="32" t="n"/>
    </row>
    <row r="25">
      <c r="A25" s="28" t="inlineStr">
        <is>
          <t>E4  Tend. hosp.</t>
        </is>
      </c>
      <c r="B25" s="36" t="n">
        <v>0.15</v>
      </c>
      <c r="C25" s="30" t="n"/>
      <c r="D25" s="30" t="n"/>
      <c r="E25" s="29" t="n">
        <v>0</v>
      </c>
      <c r="F25" s="30" t="n"/>
      <c r="G25" s="30" t="n"/>
      <c r="H25" s="30" t="n"/>
      <c r="I25" s="32" t="n"/>
      <c r="J25" s="32" t="n"/>
      <c r="K25" s="32" t="n"/>
      <c r="L25" s="32" t="n"/>
      <c r="S25" s="28" t="inlineStr">
        <is>
          <t>E6  Tend. socioec.</t>
        </is>
      </c>
      <c r="T25" s="35">
        <f>(B10+B27+B45)/3</f>
        <v/>
      </c>
      <c r="U25" s="35">
        <f>(C10+C27+C45)/3</f>
        <v/>
      </c>
      <c r="V25" s="35">
        <f>(D10+D27+D45)/3</f>
        <v/>
      </c>
      <c r="W25" s="35">
        <f>(E10+E27+E45)/3</f>
        <v/>
      </c>
      <c r="X25" s="35">
        <f>(F10+F27+F45)/3</f>
        <v/>
      </c>
      <c r="Y25" s="34">
        <f>(G10+G27+G45)/3</f>
        <v/>
      </c>
      <c r="Z25" s="35">
        <f>(H10+H27+H45)/3</f>
        <v/>
      </c>
      <c r="AA25" s="32" t="n"/>
      <c r="AB25" s="32" t="n"/>
      <c r="AC25" s="32" t="n"/>
      <c r="AD25" s="32" t="n"/>
    </row>
    <row r="26">
      <c r="A26" s="28" t="inlineStr">
        <is>
          <t>E5  Restr. vigente</t>
        </is>
      </c>
      <c r="B26" s="36" t="n">
        <v>-0.48</v>
      </c>
      <c r="C26" s="30" t="n"/>
      <c r="D26" s="30" t="n"/>
      <c r="E26" s="30" t="n"/>
      <c r="F26" s="29" t="n">
        <v>0</v>
      </c>
      <c r="G26" s="30" t="n"/>
      <c r="H26" s="30" t="n"/>
      <c r="I26" s="32" t="n"/>
      <c r="J26" s="32" t="n"/>
      <c r="K26" s="32" t="n"/>
      <c r="L26" s="32" t="n"/>
      <c r="S26" s="28" t="inlineStr">
        <is>
          <t>E7  Preocupación</t>
        </is>
      </c>
      <c r="T26" s="35">
        <f>(B11+B28+B46)/3</f>
        <v/>
      </c>
      <c r="U26" s="35">
        <f>(C11+C28+C46)/3</f>
        <v/>
      </c>
      <c r="V26" s="35">
        <f>(D11+D28+D46)/3</f>
        <v/>
      </c>
      <c r="W26" s="35">
        <f>(E11+E28+E46)/3</f>
        <v/>
      </c>
      <c r="X26" s="35">
        <f>(F11+F28+F46)/3</f>
        <v/>
      </c>
      <c r="Y26" s="35">
        <f>(G11+G28+G46)/3</f>
        <v/>
      </c>
      <c r="Z26" s="34">
        <f>(H11+H28+H46)/3</f>
        <v/>
      </c>
      <c r="AA26" s="32" t="n"/>
      <c r="AB26" s="32" t="n"/>
      <c r="AC26" s="32" t="n"/>
      <c r="AD26" s="32" t="n"/>
    </row>
    <row r="27">
      <c r="A27" s="28" t="inlineStr">
        <is>
          <t>E6  Tend. socioec.</t>
        </is>
      </c>
      <c r="B27" s="36" t="n">
        <v>0.1</v>
      </c>
      <c r="C27" s="30" t="n"/>
      <c r="D27" s="30" t="n"/>
      <c r="E27" s="30" t="n"/>
      <c r="F27" s="30" t="n"/>
      <c r="G27" s="29" t="n">
        <v>0</v>
      </c>
      <c r="H27" s="30" t="n"/>
      <c r="I27" s="32" t="n"/>
      <c r="J27" s="32" t="n"/>
      <c r="K27" s="32" t="n"/>
      <c r="L27" s="32" t="n"/>
      <c r="S27" s="33" t="inlineStr">
        <is>
          <t>A1  Trabajo</t>
        </is>
      </c>
      <c r="T27" s="35">
        <f>(B12+B29+B47)/3</f>
        <v/>
      </c>
      <c r="U27" s="35">
        <f>(C12+C29+C47)/3</f>
        <v/>
      </c>
      <c r="V27" s="35">
        <f>(D12+D29+D47)/3</f>
        <v/>
      </c>
      <c r="W27" s="35">
        <f>(E12+E29+E47)/3</f>
        <v/>
      </c>
      <c r="X27" s="35">
        <f>(F12+F29+F47)/3</f>
        <v/>
      </c>
      <c r="Y27" s="35">
        <f>(G12+G29+G47)/3</f>
        <v/>
      </c>
      <c r="Z27" s="35">
        <f>(H12+H29+H47)/3</f>
        <v/>
      </c>
      <c r="AA27" s="29" t="n">
        <v>0</v>
      </c>
      <c r="AB27" s="32" t="n"/>
      <c r="AC27" s="32" t="n"/>
      <c r="AD27" s="32" t="n"/>
    </row>
    <row r="28">
      <c r="A28" s="28" t="inlineStr">
        <is>
          <t>E7  Preocupación</t>
        </is>
      </c>
      <c r="B28" s="36" t="n">
        <v>-0.36</v>
      </c>
      <c r="C28" s="30" t="n"/>
      <c r="D28" s="30" t="n"/>
      <c r="E28" s="30" t="n"/>
      <c r="F28" s="30" t="n"/>
      <c r="G28" s="30" t="n"/>
      <c r="H28" s="29" t="n">
        <v>0</v>
      </c>
      <c r="I28" s="32" t="n"/>
      <c r="J28" s="32" t="n"/>
      <c r="K28" s="32" t="n"/>
      <c r="L28" s="32" t="n"/>
      <c r="S28" s="33" t="inlineStr">
        <is>
          <t>A2  Colegios</t>
        </is>
      </c>
      <c r="T28" s="35">
        <f>(B13+B30+B48)/3</f>
        <v/>
      </c>
      <c r="U28" s="35">
        <f>(C13+C30+C48)/3</f>
        <v/>
      </c>
      <c r="V28" s="35">
        <f>(D13+D30+D48)/3</f>
        <v/>
      </c>
      <c r="W28" s="35">
        <f>(E13+E30+E48)/3</f>
        <v/>
      </c>
      <c r="X28" s="35">
        <f>(F13+F30+F48)/3</f>
        <v/>
      </c>
      <c r="Y28" s="35">
        <f>(G13+G30+G48)/3</f>
        <v/>
      </c>
      <c r="Z28" s="35">
        <f>(H13+H30+H48)/3</f>
        <v/>
      </c>
      <c r="AA28" s="32" t="n"/>
      <c r="AB28" s="29" t="n">
        <v>0</v>
      </c>
      <c r="AC28" s="32" t="n"/>
      <c r="AD28" s="32" t="n"/>
    </row>
    <row r="29">
      <c r="A29" s="33" t="inlineStr">
        <is>
          <t>A1  Trabajo</t>
        </is>
      </c>
      <c r="B29" s="36" t="n">
        <v>-0.62</v>
      </c>
      <c r="C29" s="30" t="n"/>
      <c r="D29" s="30" t="n"/>
      <c r="E29" s="30" t="n"/>
      <c r="F29" s="30" t="n"/>
      <c r="G29" s="30" t="n"/>
      <c r="H29" s="30" t="n"/>
      <c r="I29" s="29" t="n">
        <v>0</v>
      </c>
      <c r="J29" s="32" t="n"/>
      <c r="K29" s="32" t="n"/>
      <c r="L29" s="32" t="n"/>
      <c r="S29" s="33" t="inlineStr">
        <is>
          <t>A3  Transporte</t>
        </is>
      </c>
      <c r="T29" s="35">
        <f>(B14+B31+B49)/3</f>
        <v/>
      </c>
      <c r="U29" s="35">
        <f>(C14+C31+C49)/3</f>
        <v/>
      </c>
      <c r="V29" s="35">
        <f>(D14+D31+D49)/3</f>
        <v/>
      </c>
      <c r="W29" s="35">
        <f>(E14+E31+E49)/3</f>
        <v/>
      </c>
      <c r="X29" s="35">
        <f>(F14+F31+F49)/3</f>
        <v/>
      </c>
      <c r="Y29" s="35">
        <f>(G14+G31+G49)/3</f>
        <v/>
      </c>
      <c r="Z29" s="35">
        <f>(H14+H31+H49)/3</f>
        <v/>
      </c>
      <c r="AA29" s="32" t="n"/>
      <c r="AB29" s="32" t="n"/>
      <c r="AC29" s="29" t="n">
        <v>0</v>
      </c>
      <c r="AD29" s="32" t="n"/>
    </row>
    <row r="30">
      <c r="A30" s="33" t="inlineStr">
        <is>
          <t>A2  Colegios</t>
        </is>
      </c>
      <c r="B30" s="36" t="n">
        <v>-0.3</v>
      </c>
      <c r="C30" s="30" t="n"/>
      <c r="D30" s="30" t="n"/>
      <c r="E30" s="30" t="n"/>
      <c r="F30" s="30" t="n"/>
      <c r="G30" s="30" t="n"/>
      <c r="H30" s="30" t="n"/>
      <c r="I30" s="32" t="n"/>
      <c r="J30" s="29" t="n">
        <v>0</v>
      </c>
      <c r="K30" s="32" t="n"/>
      <c r="L30" s="32" t="n"/>
      <c r="S30" s="33" t="inlineStr">
        <is>
          <t>A4  Confinamiento</t>
        </is>
      </c>
      <c r="T30" s="35">
        <f>(B15+B32+B50)/3</f>
        <v/>
      </c>
      <c r="U30" s="35">
        <f>(C15+C32+C50)/3</f>
        <v/>
      </c>
      <c r="V30" s="35">
        <f>(D15+D32+D50)/3</f>
        <v/>
      </c>
      <c r="W30" s="35">
        <f>(E15+E32+E50)/3</f>
        <v/>
      </c>
      <c r="X30" s="35">
        <f>(F15+F32+F50)/3</f>
        <v/>
      </c>
      <c r="Y30" s="35">
        <f>(G15+G32+G50)/3</f>
        <v/>
      </c>
      <c r="Z30" s="35">
        <f>(H15+H32+H50)/3</f>
        <v/>
      </c>
      <c r="AA30" s="32" t="n"/>
      <c r="AB30" s="32" t="n"/>
      <c r="AC30" s="32" t="n"/>
      <c r="AD30" s="29" t="n">
        <v>0</v>
      </c>
    </row>
    <row r="31">
      <c r="A31" s="33" t="inlineStr">
        <is>
          <t>A3  Transporte</t>
        </is>
      </c>
      <c r="B31" s="36" t="n">
        <v>-0.18</v>
      </c>
      <c r="C31" s="30" t="n"/>
      <c r="D31" s="30" t="n"/>
      <c r="E31" s="30" t="n"/>
      <c r="F31" s="30" t="n"/>
      <c r="G31" s="30" t="n"/>
      <c r="H31" s="30" t="n"/>
      <c r="I31" s="32" t="n"/>
      <c r="J31" s="32" t="n"/>
      <c r="K31" s="29" t="n">
        <v>0</v>
      </c>
      <c r="L31" s="32" t="n"/>
    </row>
    <row r="32">
      <c r="A32" s="33" t="inlineStr">
        <is>
          <t>A4  Confinamiento</t>
        </is>
      </c>
      <c r="B32" s="36" t="n">
        <v>-0.92</v>
      </c>
      <c r="C32" s="30" t="n"/>
      <c r="D32" s="30" t="n"/>
      <c r="E32" s="30" t="n"/>
      <c r="F32" s="30" t="n"/>
      <c r="G32" s="30" t="n"/>
      <c r="H32" s="30" t="n"/>
      <c r="I32" s="32" t="n"/>
      <c r="J32" s="32" t="n"/>
      <c r="K32" s="32" t="n"/>
      <c r="L32" s="29" t="n">
        <v>0</v>
      </c>
    </row>
    <row r="34" ht="32.25" customHeight="1">
      <c r="A34" s="11" t="inlineStr">
        <is>
          <t>Signos esperados:  acción→E1 &lt; 0 (las medidas reducen el contagio);  acción→E5 &gt; 0 (suben el coste vigente);  E1→E3 &gt; 0 (contagio → presión hospitalaria, con retardo);  E5→E1 &lt; 0;  E7 (preocupación)→E1 &lt; 0. El experto pone el peso en cada celda blanca.</t>
        </is>
      </c>
    </row>
    <row r="38">
      <c r="A38" s="12" t="inlineStr">
        <is>
          <t>Gemini</t>
        </is>
      </c>
      <c r="B38" s="39" t="n"/>
      <c r="C38" s="39" t="n"/>
      <c r="D38" s="39" t="n"/>
      <c r="E38" s="39" t="n"/>
      <c r="F38" s="39" t="n"/>
      <c r="G38" s="39" t="n"/>
      <c r="H38" s="39" t="n"/>
      <c r="I38" s="39" t="n"/>
      <c r="J38" s="39" t="n"/>
      <c r="K38" s="39" t="n"/>
      <c r="L38" s="39" t="n"/>
    </row>
    <row r="39">
      <c r="A39" s="25" t="inlineStr">
        <is>
          <t>Desde \ Hacia</t>
        </is>
      </c>
      <c r="B39" s="26" t="inlineStr">
        <is>
          <t>E1</t>
        </is>
      </c>
      <c r="C39" s="26" t="inlineStr">
        <is>
          <t>E2</t>
        </is>
      </c>
      <c r="D39" s="26" t="inlineStr">
        <is>
          <t>E3</t>
        </is>
      </c>
      <c r="E39" s="26" t="inlineStr">
        <is>
          <t>E4</t>
        </is>
      </c>
      <c r="F39" s="26" t="inlineStr">
        <is>
          <t>E5</t>
        </is>
      </c>
      <c r="G39" s="26" t="inlineStr">
        <is>
          <t>E6</t>
        </is>
      </c>
      <c r="H39" s="26" t="inlineStr">
        <is>
          <t>E7</t>
        </is>
      </c>
      <c r="I39" s="27" t="inlineStr">
        <is>
          <t>A1</t>
        </is>
      </c>
      <c r="J39" s="27" t="inlineStr">
        <is>
          <t>A2</t>
        </is>
      </c>
      <c r="K39" s="27" t="inlineStr">
        <is>
          <t>A3</t>
        </is>
      </c>
      <c r="L39" s="27" t="inlineStr">
        <is>
          <t>A4</t>
        </is>
      </c>
    </row>
    <row r="40">
      <c r="A40" s="28" t="inlineStr">
        <is>
          <t>E1  Contagio</t>
        </is>
      </c>
      <c r="B40" s="65" t="n">
        <v>0.5</v>
      </c>
      <c r="C40" s="30" t="n"/>
      <c r="D40" s="30" t="n"/>
      <c r="E40" s="30" t="n"/>
      <c r="F40" s="30" t="n"/>
      <c r="G40" s="30" t="n"/>
      <c r="H40" s="30" t="n"/>
      <c r="I40" s="32" t="n"/>
      <c r="J40" s="32" t="n"/>
      <c r="K40" s="32" t="n"/>
      <c r="L40" s="32" t="n"/>
    </row>
    <row r="41">
      <c r="A41" s="28" t="inlineStr">
        <is>
          <t>E2  Tend. contagio</t>
        </is>
      </c>
      <c r="B41" s="36" t="n">
        <v>0.35</v>
      </c>
      <c r="C41" s="29" t="n">
        <v>0</v>
      </c>
      <c r="D41" s="30" t="n"/>
      <c r="E41" s="30" t="n"/>
      <c r="F41" s="30" t="n"/>
      <c r="G41" s="30" t="n"/>
      <c r="H41" s="30" t="n"/>
      <c r="I41" s="32" t="n"/>
      <c r="J41" s="32" t="n"/>
      <c r="K41" s="32" t="n"/>
      <c r="L41" s="32" t="n"/>
    </row>
    <row r="42">
      <c r="A42" s="28" t="inlineStr">
        <is>
          <t>E3  Presión hosp.</t>
        </is>
      </c>
      <c r="B42" s="30" t="n"/>
      <c r="C42" s="30" t="n"/>
      <c r="D42" s="29" t="n">
        <v>0</v>
      </c>
      <c r="E42" s="30" t="n"/>
      <c r="F42" s="30" t="n"/>
      <c r="G42" s="30" t="n"/>
      <c r="H42" s="30" t="n"/>
      <c r="I42" s="32" t="n"/>
      <c r="J42" s="32" t="n"/>
      <c r="K42" s="32" t="n"/>
      <c r="L42" s="32" t="n"/>
    </row>
    <row r="43">
      <c r="A43" s="28" t="inlineStr">
        <is>
          <t>E4  Tend. hosp.</t>
        </is>
      </c>
      <c r="B43" s="30" t="n"/>
      <c r="C43" s="30" t="n"/>
      <c r="D43" s="30" t="n"/>
      <c r="E43" s="29" t="n">
        <v>0</v>
      </c>
      <c r="F43" s="30" t="n"/>
      <c r="G43" s="30" t="n"/>
      <c r="H43" s="30" t="n"/>
      <c r="I43" s="32" t="n"/>
      <c r="J43" s="32" t="n"/>
      <c r="K43" s="32" t="n"/>
      <c r="L43" s="32" t="n"/>
    </row>
    <row r="44">
      <c r="A44" s="28" t="inlineStr">
        <is>
          <t>E5  Restr. vigente</t>
        </is>
      </c>
      <c r="B44" s="36" t="n">
        <v>-0.2</v>
      </c>
      <c r="C44" s="30" t="n"/>
      <c r="D44" s="30" t="n"/>
      <c r="E44" s="30" t="n"/>
      <c r="F44" s="29" t="n">
        <v>0</v>
      </c>
      <c r="G44" s="30" t="n"/>
      <c r="H44" s="30" t="n"/>
      <c r="I44" s="32" t="n"/>
      <c r="J44" s="32" t="n"/>
      <c r="K44" s="32" t="n"/>
      <c r="L44" s="32" t="n"/>
    </row>
    <row r="45">
      <c r="A45" s="28" t="inlineStr">
        <is>
          <t>E6  Tend. socioec.</t>
        </is>
      </c>
      <c r="B45" s="30" t="n"/>
      <c r="C45" s="30" t="n"/>
      <c r="D45" s="30" t="n"/>
      <c r="E45" s="30" t="n"/>
      <c r="F45" s="30" t="n"/>
      <c r="G45" s="29" t="n">
        <v>0</v>
      </c>
      <c r="H45" s="30" t="n"/>
      <c r="I45" s="32" t="n"/>
      <c r="J45" s="32" t="n"/>
      <c r="K45" s="32" t="n"/>
      <c r="L45" s="32" t="n"/>
    </row>
    <row r="46">
      <c r="A46" s="28" t="inlineStr">
        <is>
          <t>E7  Preocupación</t>
        </is>
      </c>
      <c r="B46" s="36" t="n">
        <v>-0.4</v>
      </c>
      <c r="C46" s="30" t="n"/>
      <c r="D46" s="30" t="n"/>
      <c r="E46" s="30" t="n"/>
      <c r="F46" s="30" t="n"/>
      <c r="G46" s="30" t="n"/>
      <c r="H46" s="29" t="n">
        <v>0</v>
      </c>
      <c r="I46" s="32" t="n"/>
      <c r="J46" s="32" t="n"/>
      <c r="K46" s="32" t="n"/>
      <c r="L46" s="32" t="n"/>
    </row>
    <row r="47">
      <c r="A47" s="33" t="inlineStr">
        <is>
          <t>A1  Trabajo</t>
        </is>
      </c>
      <c r="B47" s="36" t="n">
        <v>-0.35</v>
      </c>
      <c r="C47" s="30" t="n"/>
      <c r="D47" s="30" t="n"/>
      <c r="E47" s="30" t="n"/>
      <c r="F47" s="30" t="n"/>
      <c r="G47" s="30" t="n"/>
      <c r="H47" s="30" t="n"/>
      <c r="I47" s="29" t="n">
        <v>0</v>
      </c>
      <c r="J47" s="32" t="n"/>
      <c r="K47" s="32" t="n"/>
      <c r="L47" s="32" t="n"/>
    </row>
    <row r="48">
      <c r="A48" s="33" t="inlineStr">
        <is>
          <t>A2  Colegios</t>
        </is>
      </c>
      <c r="B48" s="36" t="n">
        <v>-0.3</v>
      </c>
      <c r="C48" s="30" t="n"/>
      <c r="D48" s="30" t="n"/>
      <c r="E48" s="30" t="n"/>
      <c r="F48" s="30" t="n"/>
      <c r="G48" s="30" t="n"/>
      <c r="H48" s="30" t="n"/>
      <c r="I48" s="32" t="n"/>
      <c r="J48" s="29" t="n">
        <v>0</v>
      </c>
      <c r="K48" s="32" t="n"/>
      <c r="L48" s="32" t="n"/>
    </row>
    <row r="49">
      <c r="A49" s="33" t="inlineStr">
        <is>
          <t>A3  Transporte</t>
        </is>
      </c>
      <c r="B49" s="36" t="n">
        <v>-0.15</v>
      </c>
      <c r="C49" s="30" t="n"/>
      <c r="D49" s="30" t="n"/>
      <c r="E49" s="30" t="n"/>
      <c r="F49" s="30" t="n"/>
      <c r="G49" s="30" t="n"/>
      <c r="H49" s="30" t="n"/>
      <c r="I49" s="32" t="n"/>
      <c r="J49" s="32" t="n"/>
      <c r="K49" s="29" t="n">
        <v>0</v>
      </c>
      <c r="L49" s="32" t="n"/>
    </row>
    <row r="50">
      <c r="A50" s="33" t="inlineStr">
        <is>
          <t>A4  Confinamiento</t>
        </is>
      </c>
      <c r="B50" s="36" t="n">
        <v>-0.75</v>
      </c>
      <c r="C50" s="30" t="n"/>
      <c r="D50" s="30" t="n"/>
      <c r="E50" s="30" t="n"/>
      <c r="F50" s="30" t="n"/>
      <c r="G50" s="30" t="n"/>
      <c r="H50" s="30" t="n"/>
      <c r="I50" s="32" t="n"/>
      <c r="J50" s="32" t="n"/>
      <c r="K50" s="32" t="n"/>
      <c r="L50" s="29" t="n">
        <v>0</v>
      </c>
    </row>
    <row r="52" ht="32.25" customHeight="1">
      <c r="A52" s="11" t="inlineStr">
        <is>
          <t>Signos esperados:  acción→E1 &lt; 0 (las medidas reducen el contagio);  acción→E5 &gt; 0 (suben el coste vigente);  E1→E3 &gt; 0 (contagio → presión hospitalaria, con retardo);  E5→E1 &lt; 0;  E7 (preocupación)→E1 &lt; 0. El experto pone el peso en cada celda blanca.</t>
        </is>
      </c>
    </row>
  </sheetData>
  <mergeCells count="9">
    <mergeCell ref="A20:L20"/>
    <mergeCell ref="A38:L38"/>
    <mergeCell ref="A2:L2"/>
    <mergeCell ref="A52:L52"/>
    <mergeCell ref="A1:L1"/>
    <mergeCell ref="A17:L17"/>
    <mergeCell ref="S18:AD18"/>
    <mergeCell ref="A3:L3"/>
    <mergeCell ref="A34:L34"/>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L77"/>
  <sheetViews>
    <sheetView zoomScaleNormal="100" workbookViewId="0">
      <selection activeCell="A1" sqref="A1:L1"/>
    </sheetView>
  </sheetViews>
  <sheetFormatPr baseColWidth="10" defaultColWidth="8.83203125" defaultRowHeight="15"/>
  <cols>
    <col width="15" customWidth="1" min="1" max="1"/>
    <col width="7" customWidth="1" min="2" max="3"/>
    <col width="8.5" customWidth="1" min="4" max="12"/>
  </cols>
  <sheetData>
    <row r="1" ht="24" customHeight="1">
      <c r="A1" s="2" t="inlineStr">
        <is>
          <t>EXPLICACIONES FCM — PESOS DE PREDECIR CONTAGIOS</t>
        </is>
      </c>
    </row>
    <row r="2" ht="60" customHeight="1">
      <c r="A2" s="37" t="inlineStr">
        <is>
          <t>Justificación de cada peso de la hoja «MATRIZ DE PESOS DE PREDECIR CONTAGIOS» (bloque Claude). Es un FCM CAUSAL PURO: predice todo el estado, pero NO está integrado con el simulador, por lo que SÍ incluye el canal de cumplimiento E7→E1 y E7→E2 (a diferencia de la matriz de próximos estados, donde se omiten para evitar doble conteo). Escala [−1, 1]; signos: acción→E1 &lt; 0, acción→E5 &gt; 0, E1→E3 &gt; 0, E5→E1 &lt; 0, E7→E1 &lt; 0.</t>
        </is>
      </c>
    </row>
    <row r="3">
      <c r="A3" s="81" t="inlineStr">
        <is>
          <t>Modelo: Claude   ·   17 aristas activas   ·   Objetivo: predecir el contagio (E1)   ·   Fuentes: RoS CoronaSurveys + CTIS/UMD + OxCGRT (ver «Definiciones Conceptos»)</t>
        </is>
      </c>
    </row>
    <row r="5">
      <c r="A5" s="43" t="inlineStr">
        <is>
          <t>Relación (i→j)</t>
        </is>
      </c>
      <c r="B5" s="43" t="inlineStr">
        <is>
          <t>Peso</t>
        </is>
      </c>
      <c r="C5" s="43" t="inlineStr">
        <is>
          <t>Signo</t>
        </is>
      </c>
      <c r="D5" s="88" t="inlineStr">
        <is>
          <t>¿Por qué ese peso? (justificación)</t>
        </is>
      </c>
      <c r="E5" s="92" t="n"/>
      <c r="F5" s="92" t="n"/>
      <c r="G5" s="92" t="n"/>
      <c r="H5" s="92" t="n"/>
      <c r="I5" s="92" t="n"/>
      <c r="J5" s="92" t="n"/>
      <c r="K5" s="92" t="n"/>
      <c r="L5" s="93" t="n"/>
    </row>
    <row r="6" ht="18" customHeight="1">
      <c r="A6" s="83" t="inlineStr">
        <is>
          <t>Cadena epidemiológica (transmisión → presión sanitaria)</t>
        </is>
      </c>
    </row>
    <row r="7" ht="30" customHeight="1">
      <c r="A7" s="44" t="inlineStr">
        <is>
          <t>E1 → E3</t>
        </is>
      </c>
      <c r="B7" s="45" t="n">
        <v>0.7</v>
      </c>
      <c r="C7" s="46" t="inlineStr">
        <is>
          <t>+</t>
        </is>
      </c>
      <c r="D7" s="84" t="inlineStr">
        <is>
          <t>El contagio actual predice la presión hospitalaria con retardo: es el motor central del sistema. Casi toda la carga hospitalaria proviene del contagio previo.</t>
        </is>
      </c>
      <c r="E7" s="92" t="n"/>
      <c r="F7" s="92" t="n"/>
      <c r="G7" s="92" t="n"/>
      <c r="H7" s="92" t="n"/>
      <c r="I7" s="92" t="n"/>
      <c r="J7" s="92" t="n"/>
      <c r="K7" s="92" t="n"/>
      <c r="L7" s="93" t="n"/>
    </row>
    <row r="8" ht="30" customHeight="1">
      <c r="A8" s="44" t="inlineStr">
        <is>
          <t>E2 → E1</t>
        </is>
      </c>
      <c r="B8" s="45" t="n">
        <v>0.7</v>
      </c>
      <c r="C8" s="46" t="inlineStr">
        <is>
          <t>+</t>
        </is>
      </c>
      <c r="D8" s="84" t="inlineStr">
        <is>
          <t>Inercia epidémica: la tendencia del contagio predice su propio nivel siguiente (c_{t+1} ≈ c_t + Δc). Predictor directo y fuerte del contagio.</t>
        </is>
      </c>
      <c r="E8" s="92" t="n"/>
      <c r="F8" s="92" t="n"/>
      <c r="G8" s="92" t="n"/>
      <c r="H8" s="92" t="n"/>
      <c r="I8" s="92" t="n"/>
      <c r="J8" s="92" t="n"/>
      <c r="K8" s="92" t="n"/>
      <c r="L8" s="93" t="n"/>
    </row>
    <row r="9" ht="30" customHeight="1">
      <c r="A9" s="44" t="inlineStr">
        <is>
          <t>E4 → E3</t>
        </is>
      </c>
      <c r="B9" s="45" t="n">
        <v>0.7</v>
      </c>
      <c r="C9" s="46" t="inlineStr">
        <is>
          <t>+</t>
        </is>
      </c>
      <c r="D9" s="84" t="inlineStr">
        <is>
          <t>La tendencia hospitalaria predice el nivel hospitalario siguiente (h_{t+1} ≈ h_t + Δh): mismo patrón derivada→nivel.</t>
        </is>
      </c>
      <c r="E9" s="92" t="n"/>
      <c r="F9" s="92" t="n"/>
      <c r="G9" s="92" t="n"/>
      <c r="H9" s="92" t="n"/>
      <c r="I9" s="92" t="n"/>
      <c r="J9" s="92" t="n"/>
      <c r="K9" s="92" t="n"/>
      <c r="L9" s="93" t="n"/>
    </row>
    <row r="10" ht="18" customHeight="1">
      <c r="A10" s="83" t="inlineStr">
        <is>
          <t>Conducta y cumplimiento — el lazo clave de esta matriz</t>
        </is>
      </c>
    </row>
    <row r="11" ht="30" customHeight="1">
      <c r="A11" s="66" t="inlineStr">
        <is>
          <t>E3 → E7</t>
        </is>
      </c>
      <c r="B11" s="67" t="n">
        <v>0.6</v>
      </c>
      <c r="C11" s="68" t="inlineStr">
        <is>
          <t>+</t>
        </is>
      </c>
      <c r="D11" s="90" t="inlineStr">
        <is>
          <t>La presión hospitalaria es la señal más visible y alarmante: eleva con fuerza la preocupación (más que el número abstracto de casos).</t>
        </is>
      </c>
      <c r="E11" s="92" t="n"/>
      <c r="F11" s="92" t="n"/>
      <c r="G11" s="92" t="n"/>
      <c r="H11" s="92" t="n"/>
      <c r="I11" s="92" t="n"/>
      <c r="J11" s="92" t="n"/>
      <c r="K11" s="92" t="n"/>
      <c r="L11" s="93" t="n"/>
    </row>
    <row r="12" ht="30" customHeight="1">
      <c r="A12" s="66" t="inlineStr">
        <is>
          <t>E1 → E7</t>
        </is>
      </c>
      <c r="B12" s="67" t="n">
        <v>0.5</v>
      </c>
      <c r="C12" s="68" t="inlineStr">
        <is>
          <t>+</t>
        </is>
      </c>
      <c r="D12" s="90" t="inlineStr">
        <is>
          <t>Más contagio → más preocupación por la COVID (CTIS C3). Cierra el lazo de realimentación conductual con el contagio.</t>
        </is>
      </c>
      <c r="E12" s="92" t="n"/>
      <c r="F12" s="92" t="n"/>
      <c r="G12" s="92" t="n"/>
      <c r="H12" s="92" t="n"/>
      <c r="I12" s="92" t="n"/>
      <c r="J12" s="92" t="n"/>
      <c r="K12" s="92" t="n"/>
      <c r="L12" s="93" t="n"/>
    </row>
    <row r="13" ht="45" customHeight="1">
      <c r="A13" s="66" t="inlineStr">
        <is>
          <t>E7 → E1</t>
        </is>
      </c>
      <c r="B13" s="69" t="n">
        <v>-0.5</v>
      </c>
      <c r="C13" s="70" t="inlineStr">
        <is>
          <t>−</t>
        </is>
      </c>
      <c r="D13" s="90" t="inlineStr">
        <is>
          <t>CLAVE en esta matriz. La preocupación es proxy del cumplimiento voluntario (mascarilla, menos contactos, autoaislamiento) y reduce la transmisión. Aquí SÍ se incluye porque es un FCM puro: la preocupación actúa como predictor del contagio y no hay doble conteo con el simulador.</t>
        </is>
      </c>
      <c r="E13" s="92" t="n"/>
      <c r="F13" s="92" t="n"/>
      <c r="G13" s="92" t="n"/>
      <c r="H13" s="92" t="n"/>
      <c r="I13" s="92" t="n"/>
      <c r="J13" s="92" t="n"/>
      <c r="K13" s="92" t="n"/>
      <c r="L13" s="93" t="n"/>
    </row>
    <row r="14" ht="30" customHeight="1">
      <c r="A14" s="66" t="inlineStr">
        <is>
          <t>E7 → E2</t>
        </is>
      </c>
      <c r="B14" s="69" t="n">
        <v>-0.3</v>
      </c>
      <c r="C14" s="70" t="inlineStr">
        <is>
          <t>−</t>
        </is>
      </c>
      <c r="D14" s="90" t="inlineStr">
        <is>
          <t>El cumplimiento espontáneo también frena la tendencia del contagio, con efecto algo menor que sobre el nivel.</t>
        </is>
      </c>
      <c r="E14" s="92" t="n"/>
      <c r="F14" s="92" t="n"/>
      <c r="G14" s="92" t="n"/>
      <c r="H14" s="92" t="n"/>
      <c r="I14" s="92" t="n"/>
      <c r="J14" s="92" t="n"/>
      <c r="K14" s="92" t="n"/>
      <c r="L14" s="93" t="n"/>
    </row>
    <row r="15" ht="18" customHeight="1">
      <c r="A15" s="83" t="inlineStr">
        <is>
          <t>Coste socioeconómico y restricción vigente</t>
        </is>
      </c>
    </row>
    <row r="16" ht="30" customHeight="1">
      <c r="A16" s="44" t="inlineStr">
        <is>
          <t>E5 → E1</t>
        </is>
      </c>
      <c r="B16" s="47" t="n">
        <v>-0.5</v>
      </c>
      <c r="C16" s="48" t="inlineStr">
        <is>
          <t>−</t>
        </is>
      </c>
      <c r="D16" s="84" t="inlineStr">
        <is>
          <t>La restricción vigente (E5 = coste de a_{t-1}) sigue en pie y frena el contagio: canal de arrastre de las medidas ya aplicadas, con retardo distinto al de la acción actual.</t>
        </is>
      </c>
      <c r="E16" s="92" t="n"/>
      <c r="F16" s="92" t="n"/>
      <c r="G16" s="92" t="n"/>
      <c r="H16" s="92" t="n"/>
      <c r="I16" s="92" t="n"/>
      <c r="J16" s="92" t="n"/>
      <c r="K16" s="92" t="n"/>
      <c r="L16" s="93" t="n"/>
    </row>
    <row r="17" ht="30" customHeight="1">
      <c r="A17" s="44" t="inlineStr">
        <is>
          <t>E6 → E5</t>
        </is>
      </c>
      <c r="B17" s="45" t="n">
        <v>0.6</v>
      </c>
      <c r="C17" s="46" t="inlineStr">
        <is>
          <t>+</t>
        </is>
      </c>
      <c r="D17" s="84" t="inlineStr">
        <is>
          <t>La tendencia socioeconómica predice el nivel de restricción siguiente (L_{t+1} ≈ L_t + ΔL): patrón derivada→nivel, coherente con E2→E1 y E4→E3.</t>
        </is>
      </c>
      <c r="E17" s="92" t="n"/>
      <c r="F17" s="92" t="n"/>
      <c r="G17" s="92" t="n"/>
      <c r="H17" s="92" t="n"/>
      <c r="I17" s="92" t="n"/>
      <c r="J17" s="92" t="n"/>
      <c r="K17" s="92" t="n"/>
      <c r="L17" s="93" t="n"/>
    </row>
    <row r="18" ht="18" customHeight="1">
      <c r="A18" s="83" t="inlineStr">
        <is>
          <t>Palancas de acción → contagio (efecto directo, inmediato)</t>
        </is>
      </c>
    </row>
    <row r="19" ht="30" customHeight="1">
      <c r="A19" s="49" t="inlineStr">
        <is>
          <t>A4 → E1</t>
        </is>
      </c>
      <c r="B19" s="50" t="n">
        <v>-0.6</v>
      </c>
      <c r="C19" s="51" t="inlineStr">
        <is>
          <t>−</t>
        </is>
      </c>
      <c r="D19" s="86" t="inlineStr">
        <is>
          <t>Confinamiento: la palanca más eficaz para cortar la transmisión. Moderado (−0.6) porque también actúan los canales E5→E1 y E7→E1, y juntos no deben sobre-reducir el contagio.</t>
        </is>
      </c>
      <c r="E19" s="92" t="n"/>
      <c r="F19" s="92" t="n"/>
      <c r="G19" s="92" t="n"/>
      <c r="H19" s="92" t="n"/>
      <c r="I19" s="92" t="n"/>
      <c r="J19" s="92" t="n"/>
      <c r="K19" s="92" t="n"/>
      <c r="L19" s="93" t="n"/>
    </row>
    <row r="20" ht="30" customHeight="1">
      <c r="A20" s="49" t="inlineStr">
        <is>
          <t>A1 → E1</t>
        </is>
      </c>
      <c r="B20" s="50" t="n">
        <v>-0.4</v>
      </c>
      <c r="C20" s="51" t="inlineStr">
        <is>
          <t>−</t>
        </is>
      </c>
      <c r="D20" s="86" t="inlineStr">
        <is>
          <t>Cierre laboral: reduce el contacto adulto de forma amplia; efecto directo notable sobre el contagio.</t>
        </is>
      </c>
      <c r="E20" s="92" t="n"/>
      <c r="F20" s="92" t="n"/>
      <c r="G20" s="92" t="n"/>
      <c r="H20" s="92" t="n"/>
      <c r="I20" s="92" t="n"/>
      <c r="J20" s="92" t="n"/>
      <c r="K20" s="92" t="n"/>
      <c r="L20" s="93" t="n"/>
    </row>
    <row r="21" ht="30" customHeight="1">
      <c r="A21" s="49" t="inlineStr">
        <is>
          <t>A2 → E1</t>
        </is>
      </c>
      <c r="B21" s="50" t="n">
        <v>-0.3</v>
      </c>
      <c r="C21" s="51" t="inlineStr">
        <is>
          <t>−</t>
        </is>
      </c>
      <c r="D21" s="86" t="inlineStr">
        <is>
          <t>Cierre de colegios: efecto directo intermedio-bajo sobre el contagio.</t>
        </is>
      </c>
      <c r="E21" s="92" t="n"/>
      <c r="F21" s="92" t="n"/>
      <c r="G21" s="92" t="n"/>
      <c r="H21" s="92" t="n"/>
      <c r="I21" s="92" t="n"/>
      <c r="J21" s="92" t="n"/>
      <c r="K21" s="92" t="n"/>
      <c r="L21" s="93" t="n"/>
    </row>
    <row r="22" ht="30" customHeight="1">
      <c r="A22" s="49" t="inlineStr">
        <is>
          <t>A3 → E1</t>
        </is>
      </c>
      <c r="B22" s="50" t="n">
        <v>-0.2</v>
      </c>
      <c r="C22" s="51" t="inlineStr">
        <is>
          <t>−</t>
        </is>
      </c>
      <c r="D22" s="86" t="inlineStr">
        <is>
          <t>Transporte público: la palanca con menor efecto sobre la transmisión de las cuatro.</t>
        </is>
      </c>
      <c r="E22" s="92" t="n"/>
      <c r="F22" s="92" t="n"/>
      <c r="G22" s="92" t="n"/>
      <c r="H22" s="92" t="n"/>
      <c r="I22" s="92" t="n"/>
      <c r="J22" s="92" t="n"/>
      <c r="K22" s="92" t="n"/>
      <c r="L22" s="93" t="n"/>
    </row>
    <row r="23" ht="18" customHeight="1">
      <c r="A23" s="83" t="inlineStr">
        <is>
          <t>Palancas de acción → restricción vigente (E5)</t>
        </is>
      </c>
    </row>
    <row r="24" ht="30" customHeight="1">
      <c r="A24" s="49" t="inlineStr">
        <is>
          <t>A4 → E5</t>
        </is>
      </c>
      <c r="B24" s="52" t="n">
        <v>0.9</v>
      </c>
      <c r="C24" s="53" t="inlineStr">
        <is>
          <t>+</t>
        </is>
      </c>
      <c r="D24" s="86" t="inlineStr">
        <is>
          <t>Confinamiento: la medida MÁS gravosa (pesa el doble en el coste) → mayor aporte a la restricción vigente.</t>
        </is>
      </c>
      <c r="E24" s="92" t="n"/>
      <c r="F24" s="92" t="n"/>
      <c r="G24" s="92" t="n"/>
      <c r="H24" s="92" t="n"/>
      <c r="I24" s="92" t="n"/>
      <c r="J24" s="92" t="n"/>
      <c r="K24" s="92" t="n"/>
      <c r="L24" s="93" t="n"/>
    </row>
    <row r="25" ht="30" customHeight="1">
      <c r="A25" s="49" t="inlineStr">
        <is>
          <t>A1 → E5</t>
        </is>
      </c>
      <c r="B25" s="52" t="n">
        <v>0.5</v>
      </c>
      <c r="C25" s="53" t="inlineStr">
        <is>
          <t>+</t>
        </is>
      </c>
      <c r="D25" s="86" t="inlineStr">
        <is>
          <t>Cierre laboral: coste económico elevado.</t>
        </is>
      </c>
      <c r="E25" s="92" t="n"/>
      <c r="F25" s="92" t="n"/>
      <c r="G25" s="92" t="n"/>
      <c r="H25" s="92" t="n"/>
      <c r="I25" s="92" t="n"/>
      <c r="J25" s="92" t="n"/>
      <c r="K25" s="92" t="n"/>
      <c r="L25" s="93" t="n"/>
    </row>
    <row r="26" ht="30" customHeight="1">
      <c r="A26" s="49" t="inlineStr">
        <is>
          <t>A2 → E5</t>
        </is>
      </c>
      <c r="B26" s="52" t="n">
        <v>0.4</v>
      </c>
      <c r="C26" s="53" t="inlineStr">
        <is>
          <t>+</t>
        </is>
      </c>
      <c r="D26" s="86" t="inlineStr">
        <is>
          <t>Cierre de colegios: coste socioeconómico intermedio.</t>
        </is>
      </c>
      <c r="E26" s="92" t="n"/>
      <c r="F26" s="92" t="n"/>
      <c r="G26" s="92" t="n"/>
      <c r="H26" s="92" t="n"/>
      <c r="I26" s="92" t="n"/>
      <c r="J26" s="92" t="n"/>
      <c r="K26" s="92" t="n"/>
      <c r="L26" s="93" t="n"/>
    </row>
    <row r="27" ht="30" customHeight="1">
      <c r="A27" s="49" t="inlineStr">
        <is>
          <t>A3 → E5</t>
        </is>
      </c>
      <c r="B27" s="52" t="n">
        <v>0.3</v>
      </c>
      <c r="C27" s="53" t="inlineStr">
        <is>
          <t>+</t>
        </is>
      </c>
      <c r="D27" s="86" t="inlineStr">
        <is>
          <t>Transporte público: el de menor coste asociado.</t>
        </is>
      </c>
      <c r="E27" s="92" t="n"/>
      <c r="F27" s="92" t="n"/>
      <c r="G27" s="92" t="n"/>
      <c r="H27" s="92" t="n"/>
      <c r="I27" s="92" t="n"/>
      <c r="J27" s="92" t="n"/>
      <c r="K27" s="92" t="n"/>
      <c r="L27" s="93" t="n"/>
    </row>
    <row r="28" ht="18" customHeight="1">
      <c r="A28" s="83" t="inlineStr">
        <is>
          <t>Diferencia con la matriz de PRÓXIMOS ESTADOS</t>
        </is>
      </c>
    </row>
    <row r="29" ht="45" customHeight="1">
      <c r="A29" s="66" t="inlineStr">
        <is>
          <t>E7 → E1</t>
        </is>
      </c>
      <c r="B29" s="69" t="n">
        <v>-0.5</v>
      </c>
      <c r="C29" s="70" t="inlineStr">
        <is>
          <t>−</t>
        </is>
      </c>
      <c r="D29" s="90" t="inlineStr">
        <is>
          <t>Aquí SE INCLUYE (allí = 0). En próximos estados se omite porque el simulador ya modela cómo la preocupación modula la eficacia de las medidas; incluirla allí sería doble conteo. En este FCM puro no existe ese solapamiento.</t>
        </is>
      </c>
      <c r="E29" s="92" t="n"/>
      <c r="F29" s="92" t="n"/>
      <c r="G29" s="92" t="n"/>
      <c r="H29" s="92" t="n"/>
      <c r="I29" s="92" t="n"/>
      <c r="J29" s="92" t="n"/>
      <c r="K29" s="92" t="n"/>
      <c r="L29" s="93" t="n"/>
    </row>
    <row r="30" ht="30" customHeight="1">
      <c r="A30" s="66" t="inlineStr">
        <is>
          <t>E7 → E2</t>
        </is>
      </c>
      <c r="B30" s="69" t="n">
        <v>-0.3</v>
      </c>
      <c r="C30" s="70" t="inlineStr">
        <is>
          <t>−</t>
        </is>
      </c>
      <c r="D30" s="90" t="inlineStr">
        <is>
          <t>Misma razón: se incluye por ser un FCM puro, no integrado con el simulador.</t>
        </is>
      </c>
      <c r="E30" s="92" t="n"/>
      <c r="F30" s="92" t="n"/>
      <c r="G30" s="92" t="n"/>
      <c r="H30" s="92" t="n"/>
      <c r="I30" s="92" t="n"/>
      <c r="J30" s="92" t="n"/>
      <c r="K30" s="92" t="n"/>
      <c r="L30" s="93" t="n"/>
    </row>
    <row r="31" ht="18" customHeight="1">
      <c r="A31" s="83" t="inlineStr">
        <is>
          <t>Decisiones de diseño</t>
        </is>
      </c>
    </row>
    <row r="32" ht="30" customHeight="1">
      <c r="A32" s="84" t="inlineStr">
        <is>
          <t>•  Objetivo de la matriz: predecir el contagio (E1). Su columna reúne TODOS sus predictores: la propia tendencia (E2), la restricción vigente (E5), el cumplimiento vía preocupación (E7) y las cuatro palancas de acción.</t>
        </is>
      </c>
      <c r="B32" s="92" t="n"/>
      <c r="C32" s="92" t="n"/>
      <c r="D32" s="92" t="n"/>
      <c r="E32" s="92" t="n"/>
      <c r="F32" s="92" t="n"/>
      <c r="G32" s="92" t="n"/>
      <c r="H32" s="92" t="n"/>
      <c r="I32" s="92" t="n"/>
      <c r="J32" s="92" t="n"/>
      <c r="K32" s="92" t="n"/>
      <c r="L32" s="93" t="n"/>
    </row>
    <row r="33" ht="45" customHeight="1">
      <c r="A33" s="84" t="inlineStr">
        <is>
          <t>•  Lazo de realimentación NEGATIVO E1 → E7 → E1: más contagio → más preocupación → más cumplimiento → menos contagio. Es estabilizador y epidemiológicamente realista; a diferencia de la matriz de próximos estados (que es un DAG sin ciclos), este FCM puro sí tiene ciclos, que es lo propio de un FCM.</t>
        </is>
      </c>
      <c r="B33" s="92" t="n"/>
      <c r="C33" s="92" t="n"/>
      <c r="D33" s="92" t="n"/>
      <c r="E33" s="92" t="n"/>
      <c r="F33" s="92" t="n"/>
      <c r="G33" s="92" t="n"/>
      <c r="H33" s="92" t="n"/>
      <c r="I33" s="92" t="n"/>
      <c r="J33" s="92" t="n"/>
      <c r="K33" s="92" t="n"/>
      <c r="L33" s="93" t="n"/>
    </row>
    <row r="34" ht="30" customHeight="1">
      <c r="A34" s="84" t="inlineStr">
        <is>
          <t>•  No se invierten direcciones causales: la presión hospitalaria (E3) es CONSECUENCIA del contagio, no causa, por eso no existe E3→E1 aunque estadísticamente correlacione con él.</t>
        </is>
      </c>
      <c r="B34" s="92" t="n"/>
      <c r="C34" s="92" t="n"/>
      <c r="D34" s="92" t="n"/>
      <c r="E34" s="92" t="n"/>
      <c r="F34" s="92" t="n"/>
      <c r="G34" s="92" t="n"/>
      <c r="H34" s="92" t="n"/>
      <c r="I34" s="92" t="n"/>
      <c r="J34" s="92" t="n"/>
      <c r="K34" s="92" t="n"/>
      <c r="L34" s="93" t="n"/>
    </row>
    <row r="35" ht="27.75" customHeight="1">
      <c r="A35" s="84" t="inlineStr">
        <is>
          <t>•  Diagonal = 0 y columnas A1–A4 vacías: ninguna variable se causa a sí misma y las acciones solo emiten.</t>
        </is>
      </c>
      <c r="B35" s="92" t="n"/>
      <c r="C35" s="92" t="n"/>
      <c r="D35" s="92" t="n"/>
      <c r="E35" s="92" t="n"/>
      <c r="F35" s="92" t="n"/>
      <c r="G35" s="92" t="n"/>
      <c r="H35" s="92" t="n"/>
      <c r="I35" s="92" t="n"/>
      <c r="J35" s="92" t="n"/>
      <c r="K35" s="92" t="n"/>
      <c r="L35" s="93" t="n"/>
    </row>
    <row r="36" ht="30" customHeight="1">
      <c r="A36" s="84" t="inlineStr">
        <is>
          <t>•  Tendencias (E2, E4, E6) principalmente emisoras: predicen su nivel correspondiente; su dinámica propia la aporta el simulador y sirven para restaurar la propiedad de Markov.</t>
        </is>
      </c>
      <c r="B36" s="92" t="n"/>
      <c r="C36" s="92" t="n"/>
      <c r="D36" s="92" t="n"/>
      <c r="E36" s="92" t="n"/>
      <c r="F36" s="92" t="n"/>
      <c r="G36" s="92" t="n"/>
      <c r="H36" s="92" t="n"/>
      <c r="I36" s="92" t="n"/>
      <c r="J36" s="92" t="n"/>
      <c r="K36" s="92" t="n"/>
      <c r="L36" s="93" t="n"/>
    </row>
    <row r="37" ht="30" customHeight="1">
      <c r="A37" s="84" t="inlineStr">
        <is>
          <t>•  Aristas redundantes omitidas (E1→E4, E2→E3, E2→E4, E2→E7, E4→E7, E5→E2): la información ya llega al mismo destino por un camino más directo. Se busca el conjunto mínimo suficiente.</t>
        </is>
      </c>
      <c r="B37" s="92" t="n"/>
      <c r="C37" s="92" t="n"/>
      <c r="D37" s="92" t="n"/>
      <c r="E37" s="92" t="n"/>
      <c r="F37" s="92" t="n"/>
      <c r="G37" s="92" t="n"/>
      <c r="H37" s="92" t="n"/>
      <c r="I37" s="92" t="n"/>
      <c r="J37" s="92" t="n"/>
      <c r="K37" s="92" t="n"/>
      <c r="L37" s="93" t="n"/>
    </row>
    <row r="40" ht="24" customHeight="1">
      <c r="A40" s="2" t="inlineStr">
        <is>
          <t>BLOQUE ChatGPT — EXPLICACIÓN DE LOS PESOS (predecir contagios)</t>
        </is>
      </c>
    </row>
    <row r="41" ht="43.5" customHeight="1">
      <c r="A41" s="89" t="inlineStr">
        <is>
          <t>Modelo: ChatGPT   ·   Solo aporta la COLUMNA E1 (los predictores del contagio), coherente con el objetivo de la matriz; el resto de columnas queda vacío. OJO: lo plantea como una REGRESIÓN PREDICTIVA, por lo que incluye un término autorregresivo explícito en la diagonal (E1→E1 = 0.88), a diferencia del bloque Claude (FCM clásico, donde la persistencia va implícita en la regla de actualización y la diagonal es 0).</t>
        </is>
      </c>
    </row>
    <row r="42">
      <c r="A42" s="43" t="inlineStr">
        <is>
          <t>Relación (i→j)</t>
        </is>
      </c>
      <c r="B42" s="43" t="inlineStr">
        <is>
          <t>Peso</t>
        </is>
      </c>
      <c r="C42" s="43" t="inlineStr">
        <is>
          <t>Signo</t>
        </is>
      </c>
      <c r="D42" s="88" t="inlineStr">
        <is>
          <t>¿Por qué ese peso? (justificación de ChatGPT)</t>
        </is>
      </c>
      <c r="E42" s="92" t="n"/>
      <c r="F42" s="92" t="n"/>
      <c r="G42" s="92" t="n"/>
      <c r="H42" s="92" t="n"/>
      <c r="I42" s="92" t="n"/>
      <c r="J42" s="92" t="n"/>
      <c r="K42" s="92" t="n"/>
      <c r="L42" s="93" t="n"/>
    </row>
    <row r="43" ht="18" customHeight="1">
      <c r="A43" s="83" t="inlineStr">
        <is>
          <t>Persistencia y aceleración (los dos predictores dominantes)</t>
        </is>
      </c>
    </row>
    <row r="44" ht="60" customHeight="1">
      <c r="A44" s="66" t="inlineStr">
        <is>
          <t>E1 → E1</t>
        </is>
      </c>
      <c r="B44" s="71" t="n">
        <v>0.88</v>
      </c>
      <c r="C44" s="68" t="inlineStr">
        <is>
          <t>+</t>
        </is>
      </c>
      <c r="D44" s="90" t="inlineStr">
        <is>
          <t>DIAGONAL (término autorregresivo). El mejor predictor del contagio futuro es el contagio presente: en series epidemiológicas hay autocorrelación muy alta a horizontes cortos (7–14 días). No se usa 1.00 porque el futuro no es copia exacta del presente: las acciones pueden cambiar la trayectoria.</t>
        </is>
      </c>
      <c r="E44" s="92" t="n"/>
      <c r="F44" s="92" t="n"/>
      <c r="G44" s="92" t="n"/>
      <c r="H44" s="92" t="n"/>
      <c r="I44" s="92" t="n"/>
      <c r="J44" s="92" t="n"/>
      <c r="K44" s="92" t="n"/>
      <c r="L44" s="93" t="n"/>
    </row>
    <row r="45" ht="45" customHeight="1">
      <c r="A45" s="66" t="inlineStr">
        <is>
          <t>E2 → E1</t>
        </is>
      </c>
      <c r="B45" s="71" t="n">
        <v>0.82</v>
      </c>
      <c r="C45" s="68" t="inlineStr">
        <is>
          <t>+</t>
        </is>
      </c>
      <c r="D45" s="90" t="inlineStr">
        <is>
          <t>La tendencia captura la ACELERACIÓN. Dos países con el mismo nivel de contagio pueden tener futuros muy distintos si uno está creciendo y otro decreciendo. Es exactamente la razón por la que se añadió Δc para restaurar la propiedad de Markov.</t>
        </is>
      </c>
      <c r="E45" s="92" t="n"/>
      <c r="F45" s="92" t="n"/>
      <c r="G45" s="92" t="n"/>
      <c r="H45" s="92" t="n"/>
      <c r="I45" s="92" t="n"/>
      <c r="J45" s="92" t="n"/>
      <c r="K45" s="92" t="n"/>
      <c r="L45" s="93" t="n"/>
    </row>
    <row r="46" ht="18" customHeight="1">
      <c r="A46" s="83" t="inlineStr">
        <is>
          <t>Señales sanitarias: información indirecta, no causal</t>
        </is>
      </c>
    </row>
    <row r="47" ht="45" customHeight="1">
      <c r="A47" s="44" t="inlineStr">
        <is>
          <t>E3 → E1</t>
        </is>
      </c>
      <c r="B47" s="61" t="n">
        <v>0.22</v>
      </c>
      <c r="C47" s="46" t="inlineStr">
        <is>
          <t>+</t>
        </is>
      </c>
      <c r="D47" s="84" t="inlineStr">
        <is>
          <t>Peso deliberadamente BAJO. La hospitalización es principalmente una consecuencia del contagio, no una causa inmediata. Aporta información indirecta (refleja transmisión reciente no observada), pero no debe dominar la predicción: con +0.6 se estaría invirtiendo la causalidad.</t>
        </is>
      </c>
      <c r="E47" s="92" t="n"/>
      <c r="F47" s="92" t="n"/>
      <c r="G47" s="92" t="n"/>
      <c r="H47" s="92" t="n"/>
      <c r="I47" s="92" t="n"/>
      <c r="J47" s="92" t="n"/>
      <c r="K47" s="92" t="n"/>
      <c r="L47" s="93" t="n"/>
    </row>
    <row r="48" ht="30" customHeight="1">
      <c r="A48" s="44" t="inlineStr">
        <is>
          <t>E4 → E1</t>
        </is>
      </c>
      <c r="B48" s="61" t="n">
        <v>0.15</v>
      </c>
      <c r="C48" s="46" t="inlineStr">
        <is>
          <t>+</t>
        </is>
      </c>
      <c r="D48" s="84" t="inlineStr">
        <is>
          <t>Misma lógica que E3→E1, con peso aún menor: la tendencia hospitalaria informa sobre transmisión pasada no observada, sin ser causa del contagio futuro.</t>
        </is>
      </c>
      <c r="E48" s="92" t="n"/>
      <c r="F48" s="92" t="n"/>
      <c r="G48" s="92" t="n"/>
      <c r="H48" s="92" t="n"/>
      <c r="I48" s="92" t="n"/>
      <c r="J48" s="92" t="n"/>
      <c r="K48" s="92" t="n"/>
      <c r="L48" s="93" t="n"/>
    </row>
    <row r="49" ht="18" customHeight="1">
      <c r="A49" s="83" t="inlineStr">
        <is>
          <t>Restricción vigente y conducta</t>
        </is>
      </c>
    </row>
    <row r="50" ht="60" customHeight="1">
      <c r="A50" s="44" t="inlineStr">
        <is>
          <t>E5 → E1</t>
        </is>
      </c>
      <c r="B50" s="72" t="n">
        <v>-0.48</v>
      </c>
      <c r="C50" s="48" t="inlineStr">
        <is>
          <t>−</t>
        </is>
      </c>
      <c r="D50" s="84" t="inlineStr">
        <is>
          <t>La decisión más delicada. E5 resume el nivel de restricción ya vigente: con restricciones altas hoy es razonable esperar menos contagio mañana. No se usa −0.80 porque parte del efecto de las restricciones ya está representado por las acciones A1–A4, y un peso demasiado alto produciría DOBLE CONTEO.</t>
        </is>
      </c>
      <c r="E50" s="92" t="n"/>
      <c r="F50" s="92" t="n"/>
      <c r="G50" s="92" t="n"/>
      <c r="H50" s="92" t="n"/>
      <c r="I50" s="92" t="n"/>
      <c r="J50" s="92" t="n"/>
      <c r="K50" s="92" t="n"/>
      <c r="L50" s="93" t="n"/>
    </row>
    <row r="51" ht="60" customHeight="1">
      <c r="A51" s="44" t="inlineStr">
        <is>
          <t>E7 → E1</t>
        </is>
      </c>
      <c r="B51" s="72" t="n">
        <v>-0.36</v>
      </c>
      <c r="C51" s="48" t="inlineStr">
        <is>
          <t>−</t>
        </is>
      </c>
      <c r="D51" s="84" t="inlineStr">
        <is>
          <t>Para predicción pura la preocupación tiene valor informativo: más mascarilla, menos movilidad voluntaria, más aislamiento. CTIS suele captar los cambios conductuales ANTES de que aparezcan en los casos oficiales. Moderado porque la preocupación no siempre se traduce en comportamiento real.</t>
        </is>
      </c>
      <c r="E51" s="92" t="n"/>
      <c r="F51" s="92" t="n"/>
      <c r="G51" s="92" t="n"/>
      <c r="H51" s="92" t="n"/>
      <c r="I51" s="92" t="n"/>
      <c r="J51" s="92" t="n"/>
      <c r="K51" s="92" t="n"/>
      <c r="L51" s="93" t="n"/>
    </row>
    <row r="52" ht="45" customHeight="1">
      <c r="A52" s="73" t="inlineStr">
        <is>
          <t>E6 → E1</t>
        </is>
      </c>
      <c r="B52" s="74" t="n">
        <v>0.1</v>
      </c>
      <c r="C52" s="75" t="inlineStr">
        <is>
          <t>+</t>
        </is>
      </c>
      <c r="D52" s="87" t="inlineStr">
        <is>
          <t>Valor aportado en la tabla pero SIN justificación en el texto de ChatGPT. Además el signo es contraintuitivo: si la tendencia socioeconómica sube (restricciones endureciéndose) cabría esperar MENOS contagio, es decir signo negativo. Conviene revisarlo o pedir su justificación.</t>
        </is>
      </c>
      <c r="E52" s="92" t="n"/>
      <c r="F52" s="92" t="n"/>
      <c r="G52" s="92" t="n"/>
      <c r="H52" s="92" t="n"/>
      <c r="I52" s="92" t="n"/>
      <c r="J52" s="92" t="n"/>
      <c r="K52" s="92" t="n"/>
      <c r="L52" s="93" t="n"/>
    </row>
    <row r="53" ht="18" customHeight="1">
      <c r="A53" s="83" t="inlineStr">
        <is>
          <t>Jerarquía de las palancas de acción</t>
        </is>
      </c>
    </row>
    <row r="54" ht="30" customHeight="1">
      <c r="A54" s="49" t="inlineStr">
        <is>
          <t>A4 → E1</t>
        </is>
      </c>
      <c r="B54" s="62" t="n">
        <v>-0.92</v>
      </c>
      <c r="C54" s="51" t="inlineStr">
        <is>
          <t>−</t>
        </is>
      </c>
      <c r="D54" s="86" t="inlineStr">
        <is>
          <t>Debe ser el mayor en magnitud. Un confinamiento afecta simultáneamente trabajo, ocio, movilidad, reuniones y contactos sociales: es la intervención con mayor efecto esperado sobre Rt.</t>
        </is>
      </c>
      <c r="E54" s="92" t="n"/>
      <c r="F54" s="92" t="n"/>
      <c r="G54" s="92" t="n"/>
      <c r="H54" s="92" t="n"/>
      <c r="I54" s="92" t="n"/>
      <c r="J54" s="92" t="n"/>
      <c r="K54" s="92" t="n"/>
      <c r="L54" s="93" t="n"/>
    </row>
    <row r="55" ht="30" customHeight="1">
      <c r="A55" s="49" t="inlineStr">
        <is>
          <t>A1 → E1</t>
        </is>
      </c>
      <c r="B55" s="62" t="n">
        <v>-0.62</v>
      </c>
      <c r="C55" s="51" t="inlineStr">
        <is>
          <t>−</t>
        </is>
      </c>
      <c r="D55" s="86" t="inlineStr">
        <is>
          <t>El trabajo genera contactos repetidos y prolongados; cerrar o pasar a teletrabajo tiene un impacto grande.</t>
        </is>
      </c>
      <c r="E55" s="92" t="n"/>
      <c r="F55" s="92" t="n"/>
      <c r="G55" s="92" t="n"/>
      <c r="H55" s="92" t="n"/>
      <c r="I55" s="92" t="n"/>
      <c r="J55" s="92" t="n"/>
      <c r="K55" s="92" t="n"/>
      <c r="L55" s="93" t="n"/>
    </row>
    <row r="56" ht="30" customHeight="1">
      <c r="A56" s="49" t="inlineStr">
        <is>
          <t>A2 → E1</t>
        </is>
      </c>
      <c r="B56" s="62" t="n">
        <v>-0.3</v>
      </c>
      <c r="C56" s="51" t="inlineStr">
        <is>
          <t>−</t>
        </is>
      </c>
      <c r="D56" s="86" t="inlineStr">
        <is>
          <t>El efecto escolar es real, pero más heterogéneo entre edades y entre países.</t>
        </is>
      </c>
      <c r="E56" s="92" t="n"/>
      <c r="F56" s="92" t="n"/>
      <c r="G56" s="92" t="n"/>
      <c r="H56" s="92" t="n"/>
      <c r="I56" s="92" t="n"/>
      <c r="J56" s="92" t="n"/>
      <c r="K56" s="92" t="n"/>
      <c r="L56" s="93" t="n"/>
    </row>
    <row r="57" ht="30" customHeight="1">
      <c r="A57" s="49" t="inlineStr">
        <is>
          <t>A3 → E1</t>
        </is>
      </c>
      <c r="B57" s="62" t="n">
        <v>-0.18</v>
      </c>
      <c r="C57" s="51" t="inlineStr">
        <is>
          <t>−</t>
        </is>
      </c>
      <c r="D57" s="86" t="inlineStr">
        <is>
          <t>El transporte es más un canal de movilidad que el principal lugar de transmisión.</t>
        </is>
      </c>
      <c r="E57" s="92" t="n"/>
      <c r="F57" s="92" t="n"/>
      <c r="G57" s="92" t="n"/>
      <c r="H57" s="92" t="n"/>
      <c r="I57" s="92" t="n"/>
      <c r="J57" s="92" t="n"/>
      <c r="K57" s="92" t="n"/>
      <c r="L57" s="93" t="n"/>
    </row>
    <row r="60" ht="24" customHeight="1">
      <c r="A60" s="2" t="inlineStr">
        <is>
          <t>BLOQUE Gemini — EXPLICACIÓN DE LOS PESOS (predecir contagios)</t>
        </is>
      </c>
    </row>
    <row r="61" ht="43.5" customHeight="1">
      <c r="A61" s="89" t="inlineStr">
        <is>
          <t>Modelo: Gemini   ·   Aporta la COLUMNA E1 (peso causal hacia E1 en t+1) con su propia clasificación. Como ChatGPT, incluye término de persistencia en la diagonal (E1→E1 = +0.50, «inercia base»). Descarta explícitamente E3, E4 y E6 con peso 0.00 por falta de causalidad directa; en la matriz esas celdas quedan vacías, que es la convención de la hoja para «sin relación». Magnitudes en conjunto más conservadoras que las de ChatGPT.</t>
        </is>
      </c>
    </row>
    <row r="62">
      <c r="A62" s="43" t="inlineStr">
        <is>
          <t>Relación (i→j)</t>
        </is>
      </c>
      <c r="B62" s="43" t="inlineStr">
        <is>
          <t>Peso</t>
        </is>
      </c>
      <c r="C62" s="43" t="inlineStr">
        <is>
          <t>Signo</t>
        </is>
      </c>
      <c r="D62" s="88" t="inlineStr">
        <is>
          <t>¿Por qué ese peso? (justificación de Gemini)</t>
        </is>
      </c>
      <c r="E62" s="92" t="n"/>
      <c r="F62" s="92" t="n"/>
      <c r="G62" s="92" t="n"/>
      <c r="H62" s="92" t="n"/>
      <c r="I62" s="92" t="n"/>
      <c r="J62" s="92" t="n"/>
      <c r="K62" s="92" t="n"/>
      <c r="L62" s="93" t="n"/>
    </row>
    <row r="63" ht="18" customHeight="1">
      <c r="A63" s="83" t="inlineStr">
        <is>
          <t>Inercia y aceleración de la transmisión</t>
        </is>
      </c>
    </row>
    <row r="64" ht="30" customHeight="1">
      <c r="A64" s="66" t="inlineStr">
        <is>
          <t>E1 → E1</t>
        </is>
      </c>
      <c r="B64" s="76" t="n">
        <v>0.5</v>
      </c>
      <c r="C64" s="68" t="inlineStr">
        <is>
          <t>+</t>
        </is>
      </c>
      <c r="D64" s="90" t="inlineStr">
        <is>
          <t>INERCIA BASE (diagonal, término de persistencia). Un nivel alto de contagios genera más contactos infectados en la siguiente iteración.</t>
        </is>
      </c>
      <c r="E64" s="92" t="n"/>
      <c r="F64" s="92" t="n"/>
      <c r="G64" s="92" t="n"/>
      <c r="H64" s="92" t="n"/>
      <c r="I64" s="92" t="n"/>
      <c r="J64" s="92" t="n"/>
      <c r="K64" s="92" t="n"/>
      <c r="L64" s="93" t="n"/>
    </row>
    <row r="65" ht="30" customHeight="1">
      <c r="A65" s="66" t="inlineStr">
        <is>
          <t>E2 → E1</t>
        </is>
      </c>
      <c r="B65" s="76" t="n">
        <v>0.35</v>
      </c>
      <c r="C65" s="68" t="inlineStr">
        <is>
          <t>+</t>
        </is>
      </c>
      <c r="D65" s="90" t="inlineStr">
        <is>
          <t>ACELERACIÓN. Si la curva está en fase ascendente (Δc &gt; 0), los contagios aumentan más rápido.</t>
        </is>
      </c>
      <c r="E65" s="92" t="n"/>
      <c r="F65" s="92" t="n"/>
      <c r="G65" s="92" t="n"/>
      <c r="H65" s="92" t="n"/>
      <c r="I65" s="92" t="n"/>
      <c r="J65" s="92" t="n"/>
      <c r="K65" s="92" t="n"/>
      <c r="L65" s="93" t="n"/>
    </row>
    <row r="66" ht="18" customHeight="1">
      <c r="A66" s="83" t="inlineStr">
        <is>
          <t>Descartadas por falta de causalidad directa (peso 0.00)</t>
        </is>
      </c>
    </row>
    <row r="67" ht="30" customHeight="1">
      <c r="A67" s="77" t="inlineStr">
        <is>
          <t>E3 → E1</t>
        </is>
      </c>
      <c r="B67" s="78" t="n">
        <v>0</v>
      </c>
      <c r="C67" s="77" t="inlineStr">
        <is>
          <t>0</t>
        </is>
      </c>
      <c r="D67" s="91" t="inlineStr">
        <is>
          <t>SIN CAUSALIDAD DIRECTA. La ocupación hospitalaria es una consecuencia retrasada del contagio, no la causa del contagio futuro.</t>
        </is>
      </c>
      <c r="E67" s="92" t="n"/>
      <c r="F67" s="92" t="n"/>
      <c r="G67" s="92" t="n"/>
      <c r="H67" s="92" t="n"/>
      <c r="I67" s="92" t="n"/>
      <c r="J67" s="92" t="n"/>
      <c r="K67" s="92" t="n"/>
      <c r="L67" s="93" t="n"/>
    </row>
    <row r="68" ht="30" customHeight="1">
      <c r="A68" s="77" t="inlineStr">
        <is>
          <t>E4 → E1</t>
        </is>
      </c>
      <c r="B68" s="78" t="n">
        <v>0</v>
      </c>
      <c r="C68" s="77" t="inlineStr">
        <is>
          <t>0</t>
        </is>
      </c>
      <c r="D68" s="91" t="inlineStr">
        <is>
          <t>SIN CAUSALIDAD DIRECTA. Refleja la dinámica sanitaria pasada; no impacta directamente en la velocidad de transmisión actual.</t>
        </is>
      </c>
      <c r="E68" s="92" t="n"/>
      <c r="F68" s="92" t="n"/>
      <c r="G68" s="92" t="n"/>
      <c r="H68" s="92" t="n"/>
      <c r="I68" s="92" t="n"/>
      <c r="J68" s="92" t="n"/>
      <c r="K68" s="92" t="n"/>
      <c r="L68" s="93" t="n"/>
    </row>
    <row r="69" ht="30" customHeight="1">
      <c r="A69" s="77" t="inlineStr">
        <is>
          <t>E6 → E1</t>
        </is>
      </c>
      <c r="B69" s="78" t="n">
        <v>0</v>
      </c>
      <c r="C69" s="77" t="inlineStr">
        <is>
          <t>0</t>
        </is>
      </c>
      <c r="D69" s="91" t="inlineStr">
        <is>
          <t>SIN CAUSALIDAD DIRECTA. Describe la variación del coste económico, no el impacto físico en la transmisión del virus.</t>
        </is>
      </c>
      <c r="E69" s="92" t="n"/>
      <c r="F69" s="92" t="n"/>
      <c r="G69" s="92" t="n"/>
      <c r="H69" s="92" t="n"/>
      <c r="I69" s="92" t="n"/>
      <c r="J69" s="92" t="n"/>
      <c r="K69" s="92" t="n"/>
      <c r="L69" s="93" t="n"/>
    </row>
    <row r="70" ht="18" customHeight="1">
      <c r="A70" s="83" t="inlineStr">
        <is>
          <t>Mitigación residual y cumplimiento social</t>
        </is>
      </c>
    </row>
    <row r="71" ht="30" customHeight="1">
      <c r="A71" s="44" t="inlineStr">
        <is>
          <t>E7 → E1</t>
        </is>
      </c>
      <c r="B71" s="79" t="n">
        <v>-0.4</v>
      </c>
      <c r="C71" s="48" t="inlineStr">
        <is>
          <t>−</t>
        </is>
      </c>
      <c r="D71" s="84" t="inlineStr">
        <is>
          <t>CUMPLIMIENTO SOCIAL. Una alta percepción del riesgo (CTIS) reduce voluntariamente la exposición social y, con ella, la tasa de transmisión.</t>
        </is>
      </c>
      <c r="E71" s="92" t="n"/>
      <c r="F71" s="92" t="n"/>
      <c r="G71" s="92" t="n"/>
      <c r="H71" s="92" t="n"/>
      <c r="I71" s="92" t="n"/>
      <c r="J71" s="92" t="n"/>
      <c r="K71" s="92" t="n"/>
      <c r="L71" s="93" t="n"/>
    </row>
    <row r="72" ht="30" customHeight="1">
      <c r="A72" s="44" t="inlineStr">
        <is>
          <t>E5 → E1</t>
        </is>
      </c>
      <c r="B72" s="79" t="n">
        <v>-0.2</v>
      </c>
      <c r="C72" s="48" t="inlineStr">
        <is>
          <t>−</t>
        </is>
      </c>
      <c r="D72" s="84" t="inlineStr">
        <is>
          <t>MITIGACIÓN RESIDUAL. El nivel de restricción heredado mantiene cierto freno sobre la movilidad social.</t>
        </is>
      </c>
      <c r="E72" s="92" t="n"/>
      <c r="F72" s="92" t="n"/>
      <c r="G72" s="92" t="n"/>
      <c r="H72" s="92" t="n"/>
      <c r="I72" s="92" t="n"/>
      <c r="J72" s="92" t="n"/>
      <c r="K72" s="92" t="n"/>
      <c r="L72" s="93" t="n"/>
    </row>
    <row r="73" ht="18" customHeight="1">
      <c r="A73" s="83" t="inlineStr">
        <is>
          <t>Intervenciones (OxCGRT)</t>
        </is>
      </c>
    </row>
    <row r="74" ht="30" customHeight="1">
      <c r="A74" s="49" t="inlineStr">
        <is>
          <t>A4 → E1</t>
        </is>
      </c>
      <c r="B74" s="80" t="n">
        <v>-0.75</v>
      </c>
      <c r="C74" s="51" t="inlineStr">
        <is>
          <t>−</t>
        </is>
      </c>
      <c r="D74" s="86" t="inlineStr">
        <is>
          <t>INTERVENCIÓN CRÍTICA. Es la medida con mayor capacidad de frenado epidemiológico inmediato en el modelo OxCGRT.</t>
        </is>
      </c>
      <c r="E74" s="92" t="n"/>
      <c r="F74" s="92" t="n"/>
      <c r="G74" s="92" t="n"/>
      <c r="H74" s="92" t="n"/>
      <c r="I74" s="92" t="n"/>
      <c r="J74" s="92" t="n"/>
      <c r="K74" s="92" t="n"/>
      <c r="L74" s="93" t="n"/>
    </row>
    <row r="75" ht="30" customHeight="1">
      <c r="A75" s="49" t="inlineStr">
        <is>
          <t>A1 → E1</t>
        </is>
      </c>
      <c r="B75" s="80" t="n">
        <v>-0.35</v>
      </c>
      <c r="C75" s="51" t="inlineStr">
        <is>
          <t>−</t>
        </is>
      </c>
      <c r="D75" s="86" t="inlineStr">
        <is>
          <t>INTERVENCIÓN. El cierre de centros laborales / teletrabajo reduce aglomeraciones en espacios cerrados.</t>
        </is>
      </c>
      <c r="E75" s="92" t="n"/>
      <c r="F75" s="92" t="n"/>
      <c r="G75" s="92" t="n"/>
      <c r="H75" s="92" t="n"/>
      <c r="I75" s="92" t="n"/>
      <c r="J75" s="92" t="n"/>
      <c r="K75" s="92" t="n"/>
      <c r="L75" s="93" t="n"/>
    </row>
    <row r="76" ht="30" customHeight="1">
      <c r="A76" s="49" t="inlineStr">
        <is>
          <t>A2 → E1</t>
        </is>
      </c>
      <c r="B76" s="80" t="n">
        <v>-0.3</v>
      </c>
      <c r="C76" s="51" t="inlineStr">
        <is>
          <t>−</t>
        </is>
      </c>
      <c r="D76" s="86" t="inlineStr">
        <is>
          <t>INTERVENCIÓN. El cierre de colegios reduce cadenas de transmisión interpersonal en entornos escolares y la movilidad asociada.</t>
        </is>
      </c>
      <c r="E76" s="92" t="n"/>
      <c r="F76" s="92" t="n"/>
      <c r="G76" s="92" t="n"/>
      <c r="H76" s="92" t="n"/>
      <c r="I76" s="92" t="n"/>
      <c r="J76" s="92" t="n"/>
      <c r="K76" s="92" t="n"/>
      <c r="L76" s="93" t="n"/>
    </row>
    <row r="77" ht="30" customHeight="1">
      <c r="A77" s="49" t="inlineStr">
        <is>
          <t>A3 → E1</t>
        </is>
      </c>
      <c r="B77" s="80" t="n">
        <v>-0.15</v>
      </c>
      <c r="C77" s="51" t="inlineStr">
        <is>
          <t>−</t>
        </is>
      </c>
      <c r="D77" s="86" t="inlineStr">
        <is>
          <t>INTERVENCIÓN. La reducción de aforos / transporte público reduce focos de contacto, aunque con menor peso individual.</t>
        </is>
      </c>
      <c r="E77" s="92" t="n"/>
      <c r="F77" s="92" t="n"/>
      <c r="G77" s="92" t="n"/>
      <c r="H77" s="92" t="n"/>
      <c r="I77" s="92" t="n"/>
      <c r="J77" s="92" t="n"/>
      <c r="K77" s="92" t="n"/>
      <c r="L77" s="93" t="n"/>
    </row>
  </sheetData>
  <mergeCells count="72">
    <mergeCell ref="D21:L21"/>
    <mergeCell ref="D57:L57"/>
    <mergeCell ref="D76:L76"/>
    <mergeCell ref="D27:L27"/>
    <mergeCell ref="A41:L41"/>
    <mergeCell ref="D13:L13"/>
    <mergeCell ref="D11:L11"/>
    <mergeCell ref="A46:L46"/>
    <mergeCell ref="A37:L37"/>
    <mergeCell ref="A66:L66"/>
    <mergeCell ref="D48:L48"/>
    <mergeCell ref="D17:L17"/>
    <mergeCell ref="A18:L18"/>
    <mergeCell ref="D75:L75"/>
    <mergeCell ref="A3:L3"/>
    <mergeCell ref="D47:L47"/>
    <mergeCell ref="D16:L16"/>
    <mergeCell ref="D7:L7"/>
    <mergeCell ref="D72:L72"/>
    <mergeCell ref="A2:L2"/>
    <mergeCell ref="A33:L33"/>
    <mergeCell ref="D62:L62"/>
    <mergeCell ref="A32:L32"/>
    <mergeCell ref="A23:L23"/>
    <mergeCell ref="D56:L56"/>
    <mergeCell ref="D71:L71"/>
    <mergeCell ref="D9:L9"/>
    <mergeCell ref="D12:L12"/>
    <mergeCell ref="D25:L25"/>
    <mergeCell ref="A53:L53"/>
    <mergeCell ref="D8:L8"/>
    <mergeCell ref="D74:L74"/>
    <mergeCell ref="A35:L35"/>
    <mergeCell ref="D55:L55"/>
    <mergeCell ref="D68:L68"/>
    <mergeCell ref="D30:L30"/>
    <mergeCell ref="D64:L64"/>
    <mergeCell ref="D24:L24"/>
    <mergeCell ref="A10:L10"/>
    <mergeCell ref="D67:L67"/>
    <mergeCell ref="A43:L43"/>
    <mergeCell ref="D51:L51"/>
    <mergeCell ref="D42:L42"/>
    <mergeCell ref="A63:L63"/>
    <mergeCell ref="D29:L29"/>
    <mergeCell ref="D14:L14"/>
    <mergeCell ref="A28:L28"/>
    <mergeCell ref="D5:L5"/>
    <mergeCell ref="D54:L54"/>
    <mergeCell ref="A31:L31"/>
    <mergeCell ref="D50:L50"/>
    <mergeCell ref="D26:L26"/>
    <mergeCell ref="D44:L44"/>
    <mergeCell ref="A40:L40"/>
    <mergeCell ref="D69:L69"/>
    <mergeCell ref="D20:L20"/>
    <mergeCell ref="A34:L34"/>
    <mergeCell ref="A73:L73"/>
    <mergeCell ref="D19:L19"/>
    <mergeCell ref="A15:L15"/>
    <mergeCell ref="A60:L60"/>
    <mergeCell ref="A49:L49"/>
    <mergeCell ref="A1:L1"/>
    <mergeCell ref="D22:L22"/>
    <mergeCell ref="A36:L36"/>
    <mergeCell ref="A61:L61"/>
    <mergeCell ref="A6:L6"/>
    <mergeCell ref="D65:L65"/>
    <mergeCell ref="A70:L70"/>
    <mergeCell ref="D45:L45"/>
    <mergeCell ref="D77:L77"/>
    <mergeCell ref="D52:L52"/>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88"/>
  <sheetViews>
    <sheetView workbookViewId="0">
      <pane ySplit="5" topLeftCell="A6" activePane="bottomLeft" state="frozen"/>
      <selection pane="bottomLeft" activeCell="A1" sqref="A1"/>
    </sheetView>
  </sheetViews>
  <sheetFormatPr baseColWidth="8" defaultRowHeight="15"/>
  <cols>
    <col width="16" customWidth="1" min="1" max="1"/>
    <col width="34" customWidth="1" min="2" max="2"/>
    <col width="15" customWidth="1" min="3" max="3"/>
    <col width="34" customWidth="1" min="4" max="4"/>
    <col width="20" customWidth="1" min="5" max="5"/>
    <col width="16" customWidth="1" min="6" max="6"/>
    <col width="30" customWidth="1" min="7" max="7"/>
    <col width="24" customWidth="1" min="8" max="8"/>
  </cols>
  <sheetData>
    <row r="1">
      <c r="A1" s="94" t="inlineStr">
        <is>
          <t>FICHA TECNICA DE LAS VARIABLES DEL MDP</t>
        </is>
      </c>
    </row>
    <row r="2">
      <c r="A2" s="95" t="inlineStr">
        <is>
          <t>Tipo y rango de cada variable, antes y despues de discretizar. Complementa la hoja 'Definiciones Conceptos', que documenta los valores discretizados pero no el tipo ni la escala original.</t>
        </is>
      </c>
    </row>
    <row r="3">
      <c r="A3" s="95" t="inlineStr">
        <is>
          <t>Fuentes: estudioTeorico.tex (eq:estado, eq:accion, eq:coste, tab:variables) y qlearning_sencillo.py (estado_discreto, Discretizador, coste).</t>
        </is>
      </c>
    </row>
    <row r="5">
      <c r="A5" s="96" t="inlineStr">
        <is>
          <t>1. FICHA TECNICA: TIPO Y RANGO</t>
        </is>
      </c>
      <c r="B5" s="97" t="n"/>
      <c r="C5" s="97" t="n"/>
      <c r="D5" s="97" t="n"/>
      <c r="E5" s="97" t="n"/>
      <c r="F5" s="97" t="n"/>
      <c r="G5" s="97" t="n"/>
      <c r="H5" s="97" t="n"/>
    </row>
    <row r="7">
      <c r="A7" s="98" t="inlineStr">
        <is>
          <t>Cod.</t>
        </is>
      </c>
      <c r="B7" s="98" t="inlineStr">
        <is>
          <t>Variable (simbolo)</t>
        </is>
      </c>
      <c r="C7" s="98" t="inlineStr">
        <is>
          <t>Que mide</t>
        </is>
      </c>
      <c r="D7" s="98" t="inlineStr">
        <is>
          <t>Fuente</t>
        </is>
      </c>
      <c r="E7" s="98" t="inlineStr">
        <is>
          <t>Tipo crudo</t>
        </is>
      </c>
      <c r="F7" s="98" t="inlineStr">
        <is>
          <t>Rango original</t>
        </is>
      </c>
      <c r="G7" s="98" t="inlineStr">
        <is>
          <t>Tipo en el modelo</t>
        </is>
      </c>
      <c r="H7" s="98" t="inlineStr">
        <is>
          <t>Rango en el modelo</t>
        </is>
      </c>
    </row>
    <row r="8">
      <c r="A8" s="99" t="inlineStr">
        <is>
          <t>E1</t>
        </is>
      </c>
      <c r="B8" s="99" t="inlineStr">
        <is>
          <t>c_t: Contagio</t>
        </is>
      </c>
      <c r="C8" s="99" t="inlineStr">
        <is>
          <t>nivel</t>
        </is>
      </c>
      <c r="D8" s="99" t="inlineStr">
        <is>
          <t>RoS CoronaSurveys</t>
        </is>
      </c>
      <c r="E8" s="99" t="inlineStr">
        <is>
          <t>Continua</t>
        </is>
      </c>
      <c r="F8" s="99" t="inlineStr">
        <is>
          <t>Por confirmar</t>
        </is>
      </c>
      <c r="G8" s="99" t="inlineStr">
        <is>
          <t>Ordinal (terciles por pais)</t>
        </is>
      </c>
      <c r="H8" s="99" t="inlineStr">
        <is>
          <t>{0,1,2} = B/M/A</t>
        </is>
      </c>
    </row>
    <row r="9">
      <c r="A9" s="99" t="inlineStr">
        <is>
          <t>E2</t>
        </is>
      </c>
      <c r="B9" s="99" t="inlineStr">
        <is>
          <t>Dc_t: Tendencia del contagio</t>
        </is>
      </c>
      <c r="C9" s="99" t="inlineStr">
        <is>
          <t>direccion</t>
        </is>
      </c>
      <c r="D9" s="99" t="inlineStr">
        <is>
          <t>Variacion del RoS</t>
        </is>
      </c>
      <c r="E9" s="99" t="inlineStr">
        <is>
          <t>Derivada continua</t>
        </is>
      </c>
      <c r="F9" s="99" t="inlineStr">
        <is>
          <t>Real (variacion)</t>
        </is>
      </c>
      <c r="G9" s="99" t="inlineStr">
        <is>
          <t>Ordinal (signo, umbral d)</t>
        </is>
      </c>
      <c r="H9" s="99" t="inlineStr">
        <is>
          <t>{-1, 0, +1}</t>
        </is>
      </c>
    </row>
    <row r="10">
      <c r="A10" s="99" t="inlineStr">
        <is>
          <t>E3</t>
        </is>
      </c>
      <c r="B10" s="99" t="inlineStr">
        <is>
          <t>h_t: Presion hospitalaria</t>
        </is>
      </c>
      <c r="C10" s="99" t="inlineStr">
        <is>
          <t>nivel</t>
        </is>
      </c>
      <c r="D10" s="99" t="inlineStr">
        <is>
          <t>Severidad CLI, CTIS/UMD (proxy)</t>
        </is>
      </c>
      <c r="E10" s="99" t="inlineStr">
        <is>
          <t>Continua</t>
        </is>
      </c>
      <c r="F10" s="99" t="inlineStr">
        <is>
          <t>Por confirmar</t>
        </is>
      </c>
      <c r="G10" s="99" t="inlineStr">
        <is>
          <t>Ordinal (terciles)</t>
        </is>
      </c>
      <c r="H10" s="99" t="inlineStr">
        <is>
          <t>{0,1,2} = B/M/A</t>
        </is>
      </c>
    </row>
    <row r="11">
      <c r="A11" s="99" t="inlineStr">
        <is>
          <t>E4</t>
        </is>
      </c>
      <c r="B11" s="99" t="inlineStr">
        <is>
          <t>Dh_t: Tendencia hospitalaria</t>
        </is>
      </c>
      <c r="C11" s="99" t="inlineStr">
        <is>
          <t>direccion</t>
        </is>
      </c>
      <c r="D11" s="99" t="inlineStr">
        <is>
          <t>Variacion de h</t>
        </is>
      </c>
      <c r="E11" s="99" t="inlineStr">
        <is>
          <t>Derivada continua</t>
        </is>
      </c>
      <c r="F11" s="99" t="inlineStr">
        <is>
          <t>Real (variacion)</t>
        </is>
      </c>
      <c r="G11" s="99" t="inlineStr">
        <is>
          <t>Ordinal (signo, umbral d_h)</t>
        </is>
      </c>
      <c r="H11" s="99" t="inlineStr">
        <is>
          <t>{-1, 0, +1}</t>
        </is>
      </c>
    </row>
    <row r="12">
      <c r="A12" s="99" t="inlineStr">
        <is>
          <t>E5</t>
        </is>
      </c>
      <c r="B12" s="99" t="inlineStr">
        <is>
          <t>L_{t-1}: Restriccion vigente</t>
        </is>
      </c>
      <c r="C12" s="99" t="inlineStr">
        <is>
          <t>nivel</t>
        </is>
      </c>
      <c r="D12" s="99" t="inlineStr">
        <is>
          <t>coste(a_{t-1}), desde OxCGRT</t>
        </is>
      </c>
      <c r="E12" s="99" t="inlineStr">
        <is>
          <t>Entera</t>
        </is>
      </c>
      <c r="F12" s="99" t="inlineStr">
        <is>
          <t>0-10</t>
        </is>
      </c>
      <c r="G12" s="99" t="inlineStr">
        <is>
          <t>Ordinal (terciles del coste)</t>
        </is>
      </c>
      <c r="H12" s="99" t="inlineStr">
        <is>
          <t>{0,1,2} = B/M/A</t>
        </is>
      </c>
    </row>
    <row r="13">
      <c r="A13" s="99" t="inlineStr">
        <is>
          <t>E6</t>
        </is>
      </c>
      <c r="B13" s="99" t="inlineStr">
        <is>
          <t>DL_t: Tendencia socioeconomica</t>
        </is>
      </c>
      <c r="C13" s="99" t="inlineStr">
        <is>
          <t>direccion</t>
        </is>
      </c>
      <c r="D13" s="99" t="inlineStr">
        <is>
          <t>Variacion de L</t>
        </is>
      </c>
      <c r="E13" s="99" t="inlineStr">
        <is>
          <t>Derivada entera</t>
        </is>
      </c>
      <c r="F13" s="99" t="inlineStr">
        <is>
          <t>-10 a +10</t>
        </is>
      </c>
      <c r="G13" s="99" t="inlineStr">
        <is>
          <t>Ordinal (signo, umbral d_L)</t>
        </is>
      </c>
      <c r="H13" s="99" t="inlineStr">
        <is>
          <t>{-1, 0, +1}</t>
        </is>
      </c>
    </row>
    <row r="14">
      <c r="A14" s="99" t="inlineStr">
        <is>
          <t>E7</t>
        </is>
      </c>
      <c r="B14" s="99" t="inlineStr">
        <is>
          <t>preo_t: Preocupacion / cumplimiento</t>
        </is>
      </c>
      <c r="C14" s="99" t="inlineStr">
        <is>
          <t>cumplimiento</t>
        </is>
      </c>
      <c r="D14" s="99" t="inlineStr">
        <is>
          <t>CTIS C3 (proxy)</t>
        </is>
      </c>
      <c r="E14" s="99" t="inlineStr">
        <is>
          <t>Continua</t>
        </is>
      </c>
      <c r="F14" s="99" t="inlineStr">
        <is>
          <t>Por confirmar</t>
        </is>
      </c>
      <c r="G14" s="99" t="inlineStr">
        <is>
          <t>Ordinal (terciles)</t>
        </is>
      </c>
      <c r="H14" s="99" t="inlineStr">
        <is>
          <t>{0,1,2} = B/M/A</t>
        </is>
      </c>
    </row>
    <row r="15">
      <c r="A15" s="100" t="inlineStr">
        <is>
          <t>A1</t>
        </is>
      </c>
      <c r="B15" s="100" t="inlineStr">
        <is>
          <t>a_work: Restriccion laboral</t>
        </is>
      </c>
      <c r="C15" s="100" t="inlineStr">
        <is>
          <t>trabajo</t>
        </is>
      </c>
      <c r="D15" s="100" t="inlineStr">
        <is>
          <t>OxCGRT C2M Workplace closing</t>
        </is>
      </c>
      <c r="E15" s="100" t="inlineStr">
        <is>
          <t>Ordinal entera</t>
        </is>
      </c>
      <c r="F15" s="100" t="inlineStr">
        <is>
          <t>0-3</t>
        </is>
      </c>
      <c r="G15" s="100" t="inlineStr">
        <is>
          <t>Ordinal recodificada</t>
        </is>
      </c>
      <c r="H15" s="100" t="inlineStr">
        <is>
          <t>{0,1,2}</t>
        </is>
      </c>
    </row>
    <row r="16">
      <c r="A16" s="100" t="inlineStr">
        <is>
          <t>A2</t>
        </is>
      </c>
      <c r="B16" s="100" t="inlineStr">
        <is>
          <t>a_school: Cierre de colegios</t>
        </is>
      </c>
      <c r="C16" s="100" t="inlineStr">
        <is>
          <t>colegios</t>
        </is>
      </c>
      <c r="D16" s="100" t="inlineStr">
        <is>
          <t>OxCGRT C1M School closing</t>
        </is>
      </c>
      <c r="E16" s="100" t="inlineStr">
        <is>
          <t>Ordinal entera</t>
        </is>
      </c>
      <c r="F16" s="100" t="inlineStr">
        <is>
          <t>0-3</t>
        </is>
      </c>
      <c r="G16" s="100" t="inlineStr">
        <is>
          <t>Ordinal recodificada</t>
        </is>
      </c>
      <c r="H16" s="100" t="inlineStr">
        <is>
          <t>{0,1,2}</t>
        </is>
      </c>
    </row>
    <row r="17">
      <c r="A17" s="100" t="inlineStr">
        <is>
          <t>A3</t>
        </is>
      </c>
      <c r="B17" s="100" t="inlineStr">
        <is>
          <t>a_ptrans: Transporte publico</t>
        </is>
      </c>
      <c r="C17" s="100" t="inlineStr">
        <is>
          <t>transporte</t>
        </is>
      </c>
      <c r="D17" s="100" t="inlineStr">
        <is>
          <t>OxCGRT C5M Close public transport</t>
        </is>
      </c>
      <c r="E17" s="100" t="inlineStr">
        <is>
          <t>Ordinal entera</t>
        </is>
      </c>
      <c r="F17" s="100" t="inlineStr">
        <is>
          <t>0-2</t>
        </is>
      </c>
      <c r="G17" s="100" t="inlineStr">
        <is>
          <t>Ordinal recodificada</t>
        </is>
      </c>
      <c r="H17" s="100" t="inlineStr">
        <is>
          <t>{0,1,2}</t>
        </is>
      </c>
    </row>
    <row r="18">
      <c r="A18" s="100" t="inlineStr">
        <is>
          <t>A4</t>
        </is>
      </c>
      <c r="B18" s="100" t="inlineStr">
        <is>
          <t>a_conf: Confinamiento</t>
        </is>
      </c>
      <c r="C18" s="100" t="inlineStr">
        <is>
          <t>confinamiento</t>
        </is>
      </c>
      <c r="D18" s="100" t="inlineStr">
        <is>
          <t>OxCGRT C6M Stay-at-home</t>
        </is>
      </c>
      <c r="E18" s="100" t="inlineStr">
        <is>
          <t>Ordinal entera</t>
        </is>
      </c>
      <c r="F18" s="100" t="inlineStr">
        <is>
          <t>0-3</t>
        </is>
      </c>
      <c r="G18" s="100" t="inlineStr">
        <is>
          <t>Ordinal recodificada</t>
        </is>
      </c>
      <c r="H18" s="100" t="inlineStr">
        <is>
          <t>{0,1,2}</t>
        </is>
      </c>
    </row>
    <row r="20">
      <c r="A20" s="95" t="inlineStr">
        <is>
          <t>RESUMEN: ninguna variable entra continua al algoritmo. Las 11 son ORDINALES de 3 valores (el orden significa: 0 &lt; 1 &lt; 2). Los datos crudos si son continuos (RoS, CLI, C3) u ordinales enteros con escalas distintas (OxCGRT 0-2 / 0-3).</t>
        </is>
      </c>
    </row>
    <row r="21">
      <c r="A21" s="95" t="inlineStr">
        <is>
          <t>Los niveles se discretizan por TERCILES PROPIOS DE CADA PAIS (GB, ES, BR), no por cortes absolutos: la escala del RoS y de las encuestas difiere entre paises.</t>
        </is>
      </c>
    </row>
    <row r="23">
      <c r="A23" s="96" t="inlineStr">
        <is>
          <t>2. MAGNITUDES DERIVADAS Y UMBRALES</t>
        </is>
      </c>
      <c r="B23" s="97" t="n"/>
      <c r="C23" s="97" t="n"/>
      <c r="D23" s="97" t="n"/>
      <c r="E23" s="97" t="n"/>
      <c r="F23" s="97" t="n"/>
      <c r="G23" s="97" t="n"/>
      <c r="H23" s="97" t="n"/>
    </row>
    <row r="25">
      <c r="A25" s="98" t="inlineStr">
        <is>
          <t>Magnitud</t>
        </is>
      </c>
      <c r="B25" s="98" t="inlineStr">
        <is>
          <t>Formula / definicion</t>
        </is>
      </c>
      <c r="C25" s="98" t="inlineStr">
        <is>
          <t>Tipo</t>
        </is>
      </c>
      <c r="D25" s="98" t="inlineStr">
        <is>
          <t>Rango</t>
        </is>
      </c>
    </row>
    <row r="26">
      <c r="A26" s="101" t="inlineStr">
        <is>
          <t>Coste de la accion</t>
        </is>
      </c>
      <c r="B26" s="101" t="inlineStr">
        <is>
          <t>coste(a) = 1*A1 + 1*A2 + 1*A3 + 2*A4</t>
        </is>
      </c>
      <c r="C26" s="101" t="inlineStr">
        <is>
          <t>Entera</t>
        </is>
      </c>
      <c r="D26" s="101" t="inlineStr">
        <is>
          <t>0-10</t>
        </is>
      </c>
    </row>
    <row r="27">
      <c r="A27" s="101" t="inlineStr">
        <is>
          <t>Coste normalizado</t>
        </is>
      </c>
      <c r="B27" s="101" t="inlineStr">
        <is>
          <t>k = coste(a) / coste_max</t>
        </is>
      </c>
      <c r="C27" s="101" t="inlineStr">
        <is>
          <t>Continua</t>
        </is>
      </c>
      <c r="D27" s="101" t="inlineStr">
        <is>
          <t>[0, 1]</t>
        </is>
      </c>
    </row>
    <row r="28">
      <c r="A28" s="101" t="inlineStr">
        <is>
          <t>Peso causal del FCM</t>
        </is>
      </c>
      <c r="B28" s="101" t="inlineStr">
        <is>
          <t>w_ij = influencia de i sobre j; diagonal = 0</t>
        </is>
      </c>
      <c r="C28" s="101" t="inlineStr">
        <is>
          <t>Continua</t>
        </is>
      </c>
      <c r="D28" s="101" t="inlineStr">
        <is>
          <t>[-1, +1]</t>
        </is>
      </c>
    </row>
    <row r="29">
      <c r="A29" s="101" t="inlineStr">
        <is>
          <t>Fase epidemica</t>
        </is>
      </c>
      <c r="B29" s="101" t="inlineStr">
        <is>
          <t>De (c_t, Dc_t, h_t) por prioridad</t>
        </is>
      </c>
      <c r="C29" s="101" t="inlineStr">
        <is>
          <t>Categorica nominal</t>
        </is>
      </c>
      <c r="D29" s="101" t="inlineStr">
        <is>
          <t>4 clases: Emergencia / Prop. rapida / Prop. lenta / Calma</t>
        </is>
      </c>
    </row>
    <row r="31">
      <c r="A31" s="102" t="inlineStr">
        <is>
          <t>Umbrales de tendencia (calibrados por pais, no fijados a mano):</t>
        </is>
      </c>
    </row>
    <row r="32">
      <c r="A32" s="95" t="inlineStr">
        <is>
          <t xml:space="preserve">   d = 0,25 * std(D RoS)      d_h = 0,25 * std(D h)      d_L = 0,25 * std(D L)</t>
        </is>
      </c>
    </row>
    <row r="33">
      <c r="A33" s="95" t="inlineStr">
        <is>
          <t>El factor 0,25 es un filtro de ruido: solo se etiqueta +1 / -1 una variacion que supere un cuarto de la fluctuacion diaria tipica; por debajo, estable (0).</t>
        </is>
      </c>
    </row>
    <row r="35">
      <c r="A35" s="95" t="inlineStr">
        <is>
          <t>El confinamiento (A4) pesa el doble (beta_c = 2) por ser la medida mas gravosa. Coste 0 solo lo da (0,0,0,0); coste 10 solo lo da (2,2,2,2).</t>
        </is>
      </c>
    </row>
    <row r="38">
      <c r="A38" s="96" t="inlineStr">
        <is>
          <t>3. QUE CONJUNTO DE VARIABLES USA CADA FCM</t>
        </is>
      </c>
      <c r="B38" s="97" t="n"/>
      <c r="C38" s="97" t="n"/>
      <c r="D38" s="97" t="n"/>
      <c r="E38" s="97" t="n"/>
      <c r="F38" s="97" t="n"/>
      <c r="G38" s="97" t="n"/>
      <c r="H38" s="97" t="n"/>
    </row>
    <row r="40">
      <c r="A40" s="102" t="inlineStr">
        <is>
          <t>Los dos FCM usan LOS MISMOS 11 NODOS (E1-E7 + A1-A4). Lo que cambia es que es entrada y que es salida.</t>
        </is>
      </c>
    </row>
    <row r="42">
      <c r="A42" s="98" t="inlineStr"/>
      <c r="B42" s="98" t="inlineStr">
        <is>
          <t>FCM A - Proximo estado</t>
        </is>
      </c>
      <c r="C42" s="98" t="inlineStr">
        <is>
          <t>FCM B - Predecir contagio</t>
        </is>
      </c>
    </row>
    <row r="43">
      <c r="A43" s="101" t="inlineStr">
        <is>
          <t>Hoja del Excel</t>
        </is>
      </c>
      <c r="B43" s="101" t="inlineStr">
        <is>
          <t>MATRIZ DE PESOS PROXIMOS ESTADO</t>
        </is>
      </c>
      <c r="C43" s="101" t="inlineStr">
        <is>
          <t>MATRIZ DE PESOS DE PREDECIR CONT</t>
        </is>
      </c>
    </row>
    <row r="44">
      <c r="A44" s="101" t="inlineStr">
        <is>
          <t>Tipo de mapa</t>
        </is>
      </c>
      <c r="B44" s="101" t="inlineStr">
        <is>
          <t>Monocapa, con ciclos</t>
        </is>
      </c>
      <c r="C44" s="101" t="inlineStr">
        <is>
          <t>Multicapa (por capas), sin ciclos</t>
        </is>
      </c>
    </row>
    <row r="45">
      <c r="A45" s="101" t="inlineStr">
        <is>
          <t>Nodos</t>
        </is>
      </c>
      <c r="B45" s="101" t="inlineStr">
        <is>
          <t>11 (E1-E7 + A1-A4)</t>
        </is>
      </c>
      <c r="C45" s="101" t="inlineStr">
        <is>
          <t>11 (E1-E7 + A1-A4)</t>
        </is>
      </c>
    </row>
    <row r="46">
      <c r="A46" s="101" t="inlineStr">
        <is>
          <t>ENTRADAS</t>
        </is>
      </c>
      <c r="B46" s="101" t="inlineStr">
        <is>
          <t>E1-E7 + A1-A4 (los 11)</t>
        </is>
      </c>
      <c r="C46" s="101" t="inlineStr">
        <is>
          <t>E2-E7 + A1-A4 (10)</t>
        </is>
      </c>
    </row>
    <row r="47">
      <c r="A47" s="101" t="inlineStr">
        <is>
          <t>SALIDAS</t>
        </is>
      </c>
      <c r="B47" s="101" t="inlineStr">
        <is>
          <t>E1-E7 (las 7 del estado siguiente)</t>
        </is>
      </c>
      <c r="C47" s="101" t="inlineStr">
        <is>
          <t>Solo E1 (contagio)</t>
        </is>
      </c>
    </row>
    <row r="48">
      <c r="A48" s="101" t="inlineStr">
        <is>
          <t>Para que sirve</t>
        </is>
      </c>
      <c r="B48" s="101" t="inlineStr">
        <is>
          <t>Inferir el estado siguiente dado (estado, accion). Permite politica contextual: probar la 2a mejor accion si lleva a mejor estado.</t>
        </is>
      </c>
      <c r="C48" s="101" t="inlineStr">
        <is>
          <t>Predecir el nivel de contagio para PENALIZAR la funcion de recompensa (si mejora, premio; si empeora, castigo).</t>
        </is>
      </c>
    </row>
    <row r="49">
      <c r="A49" s="101" t="inlineStr">
        <is>
          <t>Arista distintiva</t>
        </is>
      </c>
      <c r="B49" s="101" t="inlineStr">
        <is>
          <t>E7 -&gt; E1 EXCLUIDA (=0), por doble conteo</t>
        </is>
      </c>
      <c r="C49" s="101" t="inlineStr">
        <is>
          <t>E7 -&gt; E1 = -0,5 INCLUIDA (clave en este mapa)</t>
        </is>
      </c>
    </row>
    <row r="51">
      <c r="A51" s="102" t="inlineStr">
        <is>
          <t>En ambos mapas, las ACCIONES (A1-A4) SOLO EMITEN, nunca reciben.</t>
        </is>
      </c>
    </row>
    <row r="54">
      <c r="A54" s="96" t="inlineStr">
        <is>
          <t>4. RECODIFICACION OxCGRT -&gt; {0,1,2}   [PENDIENTE DE COMPLETAR]</t>
        </is>
      </c>
      <c r="B54" s="97" t="n"/>
      <c r="C54" s="97" t="n"/>
      <c r="D54" s="97" t="n"/>
      <c r="E54" s="97" t="n"/>
      <c r="F54" s="97" t="n"/>
      <c r="G54" s="97" t="n"/>
      <c r="H54" s="97" t="n"/>
    </row>
    <row r="56">
      <c r="A56" s="103" t="inlineStr">
        <is>
          <t>Tres de los cuatro indicadores vienen en 0-3, es decir, se colapsan 4 valores originales en 3. Ese mapeo NO esta documentado en ningun sitio: ni en este Excel, ni en estudioTeorico.tex, ni en qlearning_sencillo.py (al codigo las palancas ya le llegan en {0,1,2}). Se hizo en el preprocesado.</t>
        </is>
      </c>
    </row>
    <row r="57">
      <c r="A57" s="103" t="inlineStr">
        <is>
          <t>Sin esto nadie puede reproducir las acciones ni reconstruir E5 (restriccion vigente).</t>
        </is>
      </c>
    </row>
    <row r="59">
      <c r="A59" s="98" t="inlineStr">
        <is>
          <t>Palanca</t>
        </is>
      </c>
      <c r="B59" s="98" t="inlineStr">
        <is>
          <t>Indicador OxCGRT</t>
        </is>
      </c>
      <c r="C59" s="98" t="inlineStr">
        <is>
          <t>Rango original</t>
        </is>
      </c>
      <c r="D59" s="98" t="inlineStr">
        <is>
          <t>Valor original</t>
        </is>
      </c>
      <c r="E59" s="98" t="inlineStr">
        <is>
          <t>-&gt; Valor en el modelo</t>
        </is>
      </c>
    </row>
    <row r="60">
      <c r="A60" s="104" t="inlineStr">
        <is>
          <t>A1 Trabajo</t>
        </is>
      </c>
      <c r="B60" s="104" t="inlineStr">
        <is>
          <t>C2M</t>
        </is>
      </c>
      <c r="C60" s="104" t="inlineStr">
        <is>
          <t>0-3</t>
        </is>
      </c>
      <c r="D60" s="104" t="n">
        <v>0</v>
      </c>
      <c r="E60" s="104" t="inlineStr">
        <is>
          <t>?</t>
        </is>
      </c>
    </row>
    <row r="61">
      <c r="A61" s="104" t="inlineStr"/>
      <c r="B61" s="104" t="inlineStr"/>
      <c r="C61" s="104" t="inlineStr"/>
      <c r="D61" s="104" t="n">
        <v>1</v>
      </c>
      <c r="E61" s="104" t="inlineStr">
        <is>
          <t>?</t>
        </is>
      </c>
    </row>
    <row r="62">
      <c r="A62" s="104" t="inlineStr"/>
      <c r="B62" s="104" t="inlineStr"/>
      <c r="C62" s="104" t="inlineStr"/>
      <c r="D62" s="104" t="n">
        <v>2</v>
      </c>
      <c r="E62" s="104" t="inlineStr">
        <is>
          <t>?</t>
        </is>
      </c>
    </row>
    <row r="63">
      <c r="A63" s="104" t="inlineStr"/>
      <c r="B63" s="104" t="inlineStr"/>
      <c r="C63" s="104" t="inlineStr"/>
      <c r="D63" s="104" t="n">
        <v>3</v>
      </c>
      <c r="E63" s="104" t="inlineStr">
        <is>
          <t>?</t>
        </is>
      </c>
    </row>
    <row r="64">
      <c r="A64" s="104" t="inlineStr">
        <is>
          <t>A2 Colegios</t>
        </is>
      </c>
      <c r="B64" s="104" t="inlineStr">
        <is>
          <t>C1M</t>
        </is>
      </c>
      <c r="C64" s="104" t="inlineStr">
        <is>
          <t>0-3</t>
        </is>
      </c>
      <c r="D64" s="104" t="n">
        <v>0</v>
      </c>
      <c r="E64" s="104" t="inlineStr">
        <is>
          <t>?</t>
        </is>
      </c>
    </row>
    <row r="65">
      <c r="A65" s="104" t="inlineStr"/>
      <c r="B65" s="104" t="inlineStr"/>
      <c r="C65" s="104" t="inlineStr"/>
      <c r="D65" s="104" t="n">
        <v>1</v>
      </c>
      <c r="E65" s="104" t="inlineStr">
        <is>
          <t>?</t>
        </is>
      </c>
    </row>
    <row r="66">
      <c r="A66" s="104" t="inlineStr"/>
      <c r="B66" s="104" t="inlineStr"/>
      <c r="C66" s="104" t="inlineStr"/>
      <c r="D66" s="104" t="n">
        <v>2</v>
      </c>
      <c r="E66" s="104" t="inlineStr">
        <is>
          <t>?</t>
        </is>
      </c>
    </row>
    <row r="67">
      <c r="A67" s="104" t="inlineStr"/>
      <c r="B67" s="104" t="inlineStr"/>
      <c r="C67" s="104" t="inlineStr"/>
      <c r="D67" s="104" t="n">
        <v>3</v>
      </c>
      <c r="E67" s="104" t="inlineStr">
        <is>
          <t>?</t>
        </is>
      </c>
    </row>
    <row r="68">
      <c r="A68" s="104" t="inlineStr">
        <is>
          <t>A3 Transporte</t>
        </is>
      </c>
      <c r="B68" s="104" t="inlineStr">
        <is>
          <t>C5M</t>
        </is>
      </c>
      <c r="C68" s="104" t="inlineStr">
        <is>
          <t>0-2</t>
        </is>
      </c>
      <c r="D68" s="104" t="n">
        <v>0</v>
      </c>
      <c r="E68" s="104" t="inlineStr">
        <is>
          <t>?</t>
        </is>
      </c>
    </row>
    <row r="69">
      <c r="A69" s="104" t="inlineStr"/>
      <c r="B69" s="104" t="inlineStr"/>
      <c r="C69" s="104" t="inlineStr"/>
      <c r="D69" s="104" t="n">
        <v>1</v>
      </c>
      <c r="E69" s="104" t="inlineStr">
        <is>
          <t>?</t>
        </is>
      </c>
    </row>
    <row r="70">
      <c r="A70" s="104" t="inlineStr"/>
      <c r="B70" s="104" t="inlineStr"/>
      <c r="C70" s="104" t="inlineStr"/>
      <c r="D70" s="104" t="n">
        <v>2</v>
      </c>
      <c r="E70" s="104" t="inlineStr">
        <is>
          <t>?</t>
        </is>
      </c>
    </row>
    <row r="71">
      <c r="A71" s="104" t="inlineStr">
        <is>
          <t>A4 Confinamiento</t>
        </is>
      </c>
      <c r="B71" s="104" t="inlineStr">
        <is>
          <t>C6M</t>
        </is>
      </c>
      <c r="C71" s="104" t="inlineStr">
        <is>
          <t>0-3</t>
        </is>
      </c>
      <c r="D71" s="104" t="n">
        <v>0</v>
      </c>
      <c r="E71" s="104" t="inlineStr">
        <is>
          <t>?</t>
        </is>
      </c>
    </row>
    <row r="72">
      <c r="A72" s="104" t="inlineStr"/>
      <c r="B72" s="104" t="inlineStr"/>
      <c r="C72" s="104" t="inlineStr"/>
      <c r="D72" s="104" t="n">
        <v>1</v>
      </c>
      <c r="E72" s="104" t="inlineStr">
        <is>
          <t>?</t>
        </is>
      </c>
    </row>
    <row r="73">
      <c r="A73" s="104" t="inlineStr"/>
      <c r="B73" s="104" t="inlineStr"/>
      <c r="C73" s="104" t="inlineStr"/>
      <c r="D73" s="104" t="n">
        <v>2</v>
      </c>
      <c r="E73" s="104" t="inlineStr">
        <is>
          <t>?</t>
        </is>
      </c>
    </row>
    <row r="74">
      <c r="A74" s="104" t="inlineStr"/>
      <c r="B74" s="104" t="inlineStr"/>
      <c r="C74" s="104" t="inlineStr"/>
      <c r="D74" s="104" t="n">
        <v>3</v>
      </c>
      <c r="E74" s="104" t="inlineStr">
        <is>
          <t>?</t>
        </is>
      </c>
    </row>
    <row r="76">
      <c r="A76" s="103" t="inlineStr">
        <is>
          <t>Rellenar la ultima columna con el mapeo real usado en el preprocesado.</t>
        </is>
      </c>
    </row>
    <row r="79">
      <c r="A79" s="96" t="inlineStr">
        <is>
          <t>5. CORRECCIONES A LAS NOTAS DE 'Definiciones Conceptos'</t>
        </is>
      </c>
      <c r="B79" s="97" t="n"/>
      <c r="C79" s="97" t="n"/>
      <c r="D79" s="97" t="n"/>
      <c r="E79" s="97" t="n"/>
      <c r="F79" s="97" t="n"/>
      <c r="G79" s="97" t="n"/>
      <c r="H79" s="97" t="n"/>
    </row>
    <row r="81">
      <c r="A81" s="103" t="inlineStr">
        <is>
          <t>Dos notas de esa hoja estan DESACTUALIZADAS respecto al modelo actual. Importa porque ese Excel alimenta los prompts de las LLM: si van con la version vieja, las matrices se generan sobre un modelo que ya no existe.</t>
        </is>
      </c>
    </row>
    <row r="83">
      <c r="A83" s="98" t="inlineStr">
        <is>
          <t>Nota en 'Definiciones Conceptos'</t>
        </is>
      </c>
      <c r="B83" s="98" t="inlineStr">
        <is>
          <t>Estado</t>
        </is>
      </c>
      <c r="C83" s="98" t="inlineStr">
        <is>
          <t>Version correcta (modelo actual)</t>
        </is>
      </c>
    </row>
    <row r="84">
      <c r="A84" s="104" t="inlineStr">
        <is>
          <t>coste(a) = ... con beta &gt;= 0 a calibrar</t>
        </is>
      </c>
      <c r="B84" s="104" t="inlineStr">
        <is>
          <t>Desactualizada</t>
        </is>
      </c>
      <c r="C84" s="104" t="inlineStr">
        <is>
          <t>Los pesos ya estan fijados: (beta_w, beta_s, beta_p, beta_c) = (1,1,1,2). De ahi sale el rango 0-10 de E5.</t>
        </is>
      </c>
    </row>
    <row r="85">
      <c r="A85" s="104" t="inlineStr">
        <is>
          <t>Emergencia -&gt; prioriza salud, IGNORA el coste</t>
        </is>
      </c>
      <c r="B85" s="104" t="inlineStr">
        <is>
          <t>Desactualizada</t>
        </is>
      </c>
      <c r="C85" s="104" t="inlineStr">
        <is>
          <t>Emergencia YA NO ignora el coste: lleva penalizacion minima lambda_E = 0,05, para que entre dos acciones igual de eficaces prefiera la mas barata. Fue uno de los cambios del arreglo de la 'Q plana'.</t>
        </is>
      </c>
    </row>
    <row r="88">
      <c r="A88" s="103" t="inlineStr">
        <is>
          <t>Hoja generada el 20/07/2026. Backup del Excel original: FCM LLM_BACKUP_20260720.xlsx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es-ES</dc:language>
  <dcterms:created xmlns:dcterms="http://purl.org/dc/terms/" xmlns:xsi="http://www.w3.org/2001/XMLSchema-instance" xsi:type="dcterms:W3CDTF">2026-07-05T21:57:51Z</dcterms:created>
  <dcterms:modified xmlns:dcterms="http://purl.org/dc/terms/" xmlns:xsi="http://www.w3.org/2001/XMLSchema-instance" xsi:type="dcterms:W3CDTF">2026-07-24T09:45:32Z</dcterms:modified>
  <cp:lastModifiedBy>Mozo López de María Celia</cp:lastModifiedBy>
  <cp:revision>0</cp:revision>
</cp:coreProperties>
</file>